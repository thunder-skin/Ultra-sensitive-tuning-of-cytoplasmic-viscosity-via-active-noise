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4\fraction_viscosity\"/>
    </mc:Choice>
  </mc:AlternateContent>
  <xr:revisionPtr revIDLastSave="0" documentId="13_ncr:1_{691C5DC5-C921-4AFA-9E2E-E8AE6A738571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K2" i="1" s="1"/>
  <c r="H3" i="1"/>
  <c r="K3" i="1" s="1"/>
  <c r="H4" i="1"/>
  <c r="K4" i="1" s="1"/>
  <c r="H5" i="1"/>
  <c r="K5" i="1" s="1"/>
  <c r="H1" i="1"/>
  <c r="E1" i="1"/>
  <c r="K1" i="1"/>
  <c r="J2" i="1"/>
  <c r="J3" i="1"/>
  <c r="J4" i="1"/>
  <c r="J5" i="1"/>
  <c r="J1" i="1"/>
  <c r="I2" i="1"/>
  <c r="I3" i="1"/>
  <c r="I4" i="1"/>
  <c r="I5" i="1"/>
  <c r="I6" i="1"/>
  <c r="I7" i="1"/>
  <c r="J6" i="1" s="1"/>
  <c r="I8" i="1"/>
  <c r="I1" i="1"/>
  <c r="G2" i="1"/>
  <c r="G3" i="1"/>
  <c r="G4" i="1"/>
  <c r="G5" i="1"/>
  <c r="G6" i="1"/>
  <c r="H6" i="1" s="1"/>
  <c r="G7" i="1"/>
  <c r="H7" i="1" s="1"/>
  <c r="G1" i="1"/>
  <c r="E2" i="1"/>
  <c r="E3" i="1"/>
  <c r="E4" i="1"/>
  <c r="E5" i="1"/>
  <c r="E6" i="1"/>
  <c r="E7" i="1"/>
  <c r="F2" i="1"/>
  <c r="F3" i="1"/>
  <c r="F4" i="1"/>
  <c r="F5" i="1"/>
  <c r="F6" i="1"/>
  <c r="F7" i="1"/>
  <c r="F1" i="1"/>
  <c r="A4" i="1"/>
  <c r="A5" i="1"/>
  <c r="A6" i="1"/>
  <c r="A7" i="1"/>
  <c r="A8" i="1"/>
  <c r="A1" i="1"/>
  <c r="A2" i="1"/>
  <c r="A3" i="1"/>
  <c r="K6" i="1" l="1"/>
  <c r="J7" i="1"/>
  <c r="K7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7" sqref="C7"/>
    </sheetView>
  </sheetViews>
  <sheetFormatPr defaultRowHeight="14.15" x14ac:dyDescent="0.35"/>
  <cols>
    <col min="1" max="1" width="10.140625" bestFit="1" customWidth="1"/>
    <col min="8" max="8" width="10.5703125" customWidth="1"/>
  </cols>
  <sheetData>
    <row r="1" spans="1:11" x14ac:dyDescent="0.35">
      <c r="A1">
        <f>10^B1</f>
        <v>9.9999999999999995E-8</v>
      </c>
      <c r="B1">
        <v>-7</v>
      </c>
      <c r="C1" s="1">
        <v>65000000</v>
      </c>
      <c r="D1">
        <v>106388</v>
      </c>
      <c r="E1">
        <f>10^F1</f>
        <v>3.1622776601683734E-7</v>
      </c>
      <c r="F1">
        <f>B1/2+B2/2</f>
        <v>-6.5</v>
      </c>
      <c r="G1" s="1">
        <f>C1/C2</f>
        <v>1.1000541565123205</v>
      </c>
      <c r="H1" s="1">
        <f>(G1-1)/(B2-B1)</f>
        <v>0.10005415651232052</v>
      </c>
      <c r="I1" s="1">
        <f>D1/C1</f>
        <v>1.6367384615384615E-3</v>
      </c>
      <c r="J1" s="1">
        <f>(I1*I1+I2*I2)^0.5</f>
        <v>2.0316881029707797E-3</v>
      </c>
      <c r="K1" s="1">
        <f>J1*H1</f>
        <v>2.0327883943885798E-4</v>
      </c>
    </row>
    <row r="2" spans="1:11" x14ac:dyDescent="0.35">
      <c r="A2">
        <f t="shared" ref="A2:A7" si="0">10^B2</f>
        <v>9.9999999999999995E-7</v>
      </c>
      <c r="B2">
        <v>-6</v>
      </c>
      <c r="C2" s="1">
        <v>59088000</v>
      </c>
      <c r="D2">
        <v>71123</v>
      </c>
      <c r="E2">
        <f t="shared" ref="E2:E7" si="1">10^F2</f>
        <v>3.1622776601683767E-6</v>
      </c>
      <c r="F2">
        <f t="shared" ref="F2:F7" si="2">B2/2+B3/2</f>
        <v>-5.5</v>
      </c>
      <c r="G2" s="1">
        <f t="shared" ref="G2:G7" si="3">C2/C3</f>
        <v>1.114867924528302</v>
      </c>
      <c r="H2" s="1">
        <f t="shared" ref="H2:H7" si="4">(G2-1)/(B3-B2)</f>
        <v>0.11486792452830197</v>
      </c>
      <c r="I2" s="1">
        <f t="shared" ref="I2:I8" si="5">D2/C2</f>
        <v>1.2036792580557812E-3</v>
      </c>
      <c r="J2" s="1">
        <f t="shared" ref="J2:J7" si="6">(I2*I2+I3*I3)^0.5</f>
        <v>1.9296312726729287E-3</v>
      </c>
      <c r="K2" s="1">
        <f t="shared" ref="K2:K7" si="7">J2*H2</f>
        <v>2.2165273939684526E-4</v>
      </c>
    </row>
    <row r="3" spans="1:11" x14ac:dyDescent="0.35">
      <c r="A3">
        <f t="shared" si="0"/>
        <v>1.0000000000000001E-5</v>
      </c>
      <c r="B3">
        <v>-5</v>
      </c>
      <c r="C3" s="1">
        <v>53000000</v>
      </c>
      <c r="D3">
        <v>79934</v>
      </c>
      <c r="E3">
        <f t="shared" si="1"/>
        <v>1.7782794100389215E-5</v>
      </c>
      <c r="F3">
        <f t="shared" si="2"/>
        <v>-4.75</v>
      </c>
      <c r="G3" s="1">
        <f t="shared" si="3"/>
        <v>1.1215530759122141</v>
      </c>
      <c r="H3" s="1">
        <f t="shared" si="4"/>
        <v>0.24310615182442818</v>
      </c>
      <c r="I3" s="1">
        <f t="shared" si="5"/>
        <v>1.508188679245283E-3</v>
      </c>
      <c r="J3" s="1">
        <f t="shared" si="6"/>
        <v>2.2872459030007061E-3</v>
      </c>
      <c r="K3" s="1">
        <f t="shared" si="7"/>
        <v>5.5604354975469098E-4</v>
      </c>
    </row>
    <row r="4" spans="1:11" x14ac:dyDescent="0.35">
      <c r="A4">
        <f t="shared" si="0"/>
        <v>3.1622776601683748E-5</v>
      </c>
      <c r="B4">
        <v>-4.5</v>
      </c>
      <c r="C4" s="1">
        <v>47255900</v>
      </c>
      <c r="D4">
        <v>81259</v>
      </c>
      <c r="E4">
        <f t="shared" si="1"/>
        <v>5.6234132519034887E-5</v>
      </c>
      <c r="F4">
        <f t="shared" si="2"/>
        <v>-4.25</v>
      </c>
      <c r="G4" s="1">
        <f t="shared" si="3"/>
        <v>1.60957723643696</v>
      </c>
      <c r="H4" s="1">
        <f t="shared" si="4"/>
        <v>1.2191544728739201</v>
      </c>
      <c r="I4" s="1">
        <f t="shared" si="5"/>
        <v>1.7195524791613322E-3</v>
      </c>
      <c r="J4" s="1">
        <f t="shared" si="6"/>
        <v>2.8302457451162399E-3</v>
      </c>
      <c r="K4" s="1">
        <f t="shared" si="7"/>
        <v>3.4505067594908447E-3</v>
      </c>
    </row>
    <row r="5" spans="1:11" x14ac:dyDescent="0.35">
      <c r="A5">
        <f t="shared" si="0"/>
        <v>1E-4</v>
      </c>
      <c r="B5">
        <v>-4</v>
      </c>
      <c r="C5" s="1">
        <v>29359200</v>
      </c>
      <c r="D5">
        <v>65999</v>
      </c>
      <c r="E5">
        <f t="shared" si="1"/>
        <v>1.3335214321633237E-4</v>
      </c>
      <c r="F5">
        <f t="shared" si="2"/>
        <v>-3.875</v>
      </c>
      <c r="G5" s="1">
        <f t="shared" si="3"/>
        <v>2.6690181818181817</v>
      </c>
      <c r="H5" s="1">
        <f t="shared" si="4"/>
        <v>6.6760727272727269</v>
      </c>
      <c r="I5" s="1">
        <f t="shared" si="5"/>
        <v>2.2479835962832774E-3</v>
      </c>
      <c r="J5" s="1">
        <f t="shared" si="6"/>
        <v>9.3158409370738601E-3</v>
      </c>
      <c r="K5" s="1">
        <f t="shared" si="7"/>
        <v>6.2193231611609598E-2</v>
      </c>
    </row>
    <row r="6" spans="1:11" x14ac:dyDescent="0.35">
      <c r="A6">
        <f t="shared" si="0"/>
        <v>1.7782794100389203E-4</v>
      </c>
      <c r="B6">
        <v>-3.75</v>
      </c>
      <c r="C6" s="1">
        <v>11000000</v>
      </c>
      <c r="D6">
        <v>99446</v>
      </c>
      <c r="E6">
        <f t="shared" si="1"/>
        <v>2.3713737056616535E-4</v>
      </c>
      <c r="F6">
        <f t="shared" si="2"/>
        <v>-3.625</v>
      </c>
      <c r="G6" s="1">
        <f t="shared" si="3"/>
        <v>1.6466676386995638</v>
      </c>
      <c r="H6" s="1">
        <f t="shared" si="4"/>
        <v>2.5866705547982551</v>
      </c>
      <c r="I6" s="1">
        <f t="shared" si="5"/>
        <v>9.0405454545454539E-3</v>
      </c>
      <c r="J6" s="1">
        <f t="shared" si="6"/>
        <v>1.7833212122724575E-2</v>
      </c>
      <c r="K6" s="1">
        <f t="shared" si="7"/>
        <v>4.6128644695322941E-2</v>
      </c>
    </row>
    <row r="7" spans="1:11" x14ac:dyDescent="0.35">
      <c r="A7">
        <f t="shared" si="0"/>
        <v>3.1622776601683783E-4</v>
      </c>
      <c r="B7">
        <v>-3.5</v>
      </c>
      <c r="C7">
        <v>6680158</v>
      </c>
      <c r="D7">
        <v>102686</v>
      </c>
      <c r="E7">
        <f t="shared" si="1"/>
        <v>4.2169650342858197E-4</v>
      </c>
      <c r="F7">
        <f t="shared" si="2"/>
        <v>-3.375</v>
      </c>
      <c r="G7" s="1">
        <f t="shared" si="3"/>
        <v>1.3121819065395006</v>
      </c>
      <c r="H7" s="1">
        <f t="shared" si="4"/>
        <v>1.2487276261580025</v>
      </c>
      <c r="I7" s="1">
        <f t="shared" si="5"/>
        <v>1.537179210431849E-2</v>
      </c>
      <c r="J7" s="1">
        <f t="shared" si="6"/>
        <v>3.0948758268994278E-2</v>
      </c>
      <c r="K7" s="1">
        <f t="shared" si="7"/>
        <v>3.8646569445779072E-2</v>
      </c>
    </row>
    <row r="8" spans="1:11" x14ac:dyDescent="0.35">
      <c r="A8">
        <f>10^B8</f>
        <v>5.6234132519034856E-4</v>
      </c>
      <c r="B8">
        <v>-3.25</v>
      </c>
      <c r="C8">
        <v>5090878</v>
      </c>
      <c r="D8">
        <v>136748</v>
      </c>
      <c r="I8" s="1">
        <f t="shared" si="5"/>
        <v>2.6861378331989098E-2</v>
      </c>
      <c r="J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2024-10-23T10:24:17Z</dcterms:modified>
</cp:coreProperties>
</file>