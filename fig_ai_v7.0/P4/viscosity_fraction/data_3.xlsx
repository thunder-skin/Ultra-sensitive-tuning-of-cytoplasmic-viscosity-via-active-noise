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viscosity_fraction\"/>
    </mc:Choice>
  </mc:AlternateContent>
  <xr:revisionPtr revIDLastSave="0" documentId="13_ncr:1_{4FAF0A63-39E8-4B2D-B606-F92D2E3ED13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21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1" i="1"/>
  <c r="B20" i="1"/>
  <c r="D20" i="1"/>
  <c r="F20" i="1"/>
  <c r="H20" i="1"/>
  <c r="J20" i="1"/>
  <c r="L20" i="1"/>
  <c r="N20" i="1"/>
  <c r="P20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2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S39" sqref="B20:S39"/>
    </sheetView>
  </sheetViews>
  <sheetFormatPr defaultRowHeight="14.15" x14ac:dyDescent="0.35"/>
  <sheetData>
    <row r="1" spans="1:16" x14ac:dyDescent="0.35">
      <c r="B1">
        <v>-99</v>
      </c>
      <c r="D1">
        <v>-6</v>
      </c>
      <c r="F1">
        <v>-5</v>
      </c>
      <c r="H1">
        <v>-4.5</v>
      </c>
      <c r="J1">
        <v>-4</v>
      </c>
      <c r="L1">
        <v>-3.75</v>
      </c>
      <c r="N1">
        <v>-3.5</v>
      </c>
      <c r="P1">
        <v>-3.25</v>
      </c>
    </row>
    <row r="2" spans="1:16" x14ac:dyDescent="0.35">
      <c r="A2">
        <v>0.62</v>
      </c>
      <c r="B2" s="1">
        <v>24900</v>
      </c>
      <c r="C2">
        <v>0.62</v>
      </c>
      <c r="D2" s="1">
        <v>33000</v>
      </c>
      <c r="E2">
        <v>0.62</v>
      </c>
      <c r="F2" s="1">
        <v>45000</v>
      </c>
      <c r="G2">
        <v>0.62</v>
      </c>
      <c r="H2" s="1">
        <v>56600</v>
      </c>
      <c r="I2">
        <v>0.62</v>
      </c>
      <c r="J2" s="1">
        <v>87000</v>
      </c>
      <c r="K2">
        <v>0.62</v>
      </c>
      <c r="L2" s="1">
        <v>129000</v>
      </c>
      <c r="M2">
        <v>0.62</v>
      </c>
      <c r="N2" s="1">
        <v>190000</v>
      </c>
      <c r="O2">
        <v>0.62</v>
      </c>
      <c r="P2" s="1">
        <v>364000</v>
      </c>
    </row>
    <row r="3" spans="1:16" x14ac:dyDescent="0.35">
      <c r="A3">
        <v>0.625</v>
      </c>
      <c r="B3" s="1">
        <v>28300</v>
      </c>
      <c r="C3">
        <v>0.625</v>
      </c>
      <c r="D3" s="1">
        <v>37000</v>
      </c>
      <c r="E3">
        <v>0.625</v>
      </c>
      <c r="F3" s="1">
        <v>50000</v>
      </c>
      <c r="G3">
        <v>0.625</v>
      </c>
      <c r="H3" s="1">
        <v>73100</v>
      </c>
      <c r="I3">
        <v>0.625</v>
      </c>
      <c r="J3" s="1">
        <v>90000</v>
      </c>
      <c r="K3">
        <v>0.625</v>
      </c>
      <c r="L3" s="1">
        <v>139000</v>
      </c>
      <c r="M3">
        <v>0.625</v>
      </c>
      <c r="N3" s="1">
        <v>209000</v>
      </c>
      <c r="O3">
        <v>0.625</v>
      </c>
      <c r="P3" s="1">
        <v>399000</v>
      </c>
    </row>
    <row r="4" spans="1:16" x14ac:dyDescent="0.35">
      <c r="A4">
        <v>0.63</v>
      </c>
      <c r="B4" s="1">
        <v>33900</v>
      </c>
      <c r="C4">
        <v>0.63</v>
      </c>
      <c r="D4" s="1">
        <v>41100</v>
      </c>
      <c r="E4">
        <v>0.63</v>
      </c>
      <c r="F4" s="1">
        <v>60000</v>
      </c>
      <c r="G4">
        <v>0.63</v>
      </c>
      <c r="H4" s="1">
        <v>67800</v>
      </c>
      <c r="I4">
        <v>0.63</v>
      </c>
      <c r="J4" s="1">
        <v>95000</v>
      </c>
      <c r="K4">
        <v>0.63</v>
      </c>
      <c r="L4" s="1">
        <v>153000</v>
      </c>
      <c r="M4">
        <v>0.63</v>
      </c>
      <c r="N4" s="1">
        <v>240000</v>
      </c>
      <c r="O4">
        <v>0.63</v>
      </c>
      <c r="P4" s="1">
        <v>435000</v>
      </c>
    </row>
    <row r="5" spans="1:16" x14ac:dyDescent="0.35">
      <c r="A5">
        <v>0.63500000000000001</v>
      </c>
      <c r="B5" s="1">
        <v>45800</v>
      </c>
      <c r="C5">
        <v>0.63500000000000001</v>
      </c>
      <c r="D5" s="1">
        <v>59200</v>
      </c>
      <c r="E5">
        <v>0.63500000000000001</v>
      </c>
      <c r="F5" s="1">
        <v>80000</v>
      </c>
      <c r="G5">
        <v>0.63500000000000001</v>
      </c>
      <c r="H5" s="1">
        <v>96700</v>
      </c>
      <c r="I5">
        <v>0.63500000000000001</v>
      </c>
      <c r="J5" s="1">
        <v>120000</v>
      </c>
      <c r="K5">
        <v>0.63500000000000001</v>
      </c>
      <c r="L5" s="1">
        <v>190000</v>
      </c>
      <c r="M5">
        <v>0.63500000000000001</v>
      </c>
      <c r="N5" s="1">
        <v>275000</v>
      </c>
      <c r="O5">
        <v>0.63500000000000001</v>
      </c>
      <c r="P5" s="1">
        <v>476000</v>
      </c>
    </row>
    <row r="6" spans="1:16" x14ac:dyDescent="0.35">
      <c r="A6">
        <v>0.64</v>
      </c>
      <c r="B6" s="1">
        <v>77000</v>
      </c>
      <c r="C6">
        <v>0.64</v>
      </c>
      <c r="D6" s="1">
        <v>110000</v>
      </c>
      <c r="E6">
        <v>0.64</v>
      </c>
      <c r="F6" s="1">
        <v>120000</v>
      </c>
      <c r="G6">
        <v>0.64</v>
      </c>
      <c r="H6" s="1">
        <v>168000</v>
      </c>
      <c r="I6">
        <v>0.64</v>
      </c>
      <c r="J6" s="1">
        <v>192000</v>
      </c>
      <c r="K6">
        <v>0.64</v>
      </c>
      <c r="L6" s="1">
        <v>239000</v>
      </c>
      <c r="M6">
        <v>0.64</v>
      </c>
      <c r="N6" s="1">
        <v>400000</v>
      </c>
      <c r="O6">
        <v>0.64</v>
      </c>
      <c r="P6" s="1">
        <v>597000</v>
      </c>
    </row>
    <row r="7" spans="1:16" x14ac:dyDescent="0.35">
      <c r="A7">
        <v>0.64500000000000002</v>
      </c>
      <c r="B7" s="1">
        <v>190000</v>
      </c>
      <c r="C7">
        <v>0.64500000000000002</v>
      </c>
      <c r="D7" s="1">
        <v>300000</v>
      </c>
      <c r="E7">
        <v>0.64500000000000002</v>
      </c>
      <c r="F7" s="1">
        <v>280000</v>
      </c>
      <c r="G7">
        <v>0.64500000000000002</v>
      </c>
      <c r="H7" s="1">
        <v>694000</v>
      </c>
      <c r="I7">
        <v>0.64500000000000002</v>
      </c>
      <c r="J7" s="1">
        <v>500000</v>
      </c>
      <c r="K7">
        <v>0.64500000000000002</v>
      </c>
      <c r="L7" s="1">
        <v>600000</v>
      </c>
      <c r="M7">
        <v>0.64500000000000002</v>
      </c>
      <c r="N7" s="1">
        <v>724000</v>
      </c>
      <c r="O7">
        <v>0.64500000000000002</v>
      </c>
      <c r="P7" s="1">
        <v>770000</v>
      </c>
    </row>
    <row r="8" spans="1:16" x14ac:dyDescent="0.35">
      <c r="A8">
        <v>0.65</v>
      </c>
      <c r="B8" s="1">
        <v>4200000</v>
      </c>
      <c r="C8">
        <v>0.65</v>
      </c>
      <c r="D8" s="1">
        <v>3820000</v>
      </c>
      <c r="E8">
        <v>0.65</v>
      </c>
      <c r="F8" s="1">
        <v>2200000</v>
      </c>
      <c r="G8">
        <v>0.65</v>
      </c>
      <c r="H8" s="1">
        <v>2960000</v>
      </c>
      <c r="I8">
        <v>0.65</v>
      </c>
      <c r="J8" s="1">
        <v>1540000</v>
      </c>
      <c r="K8">
        <v>0.65</v>
      </c>
      <c r="L8" s="1">
        <v>1470000</v>
      </c>
      <c r="M8">
        <v>0.65</v>
      </c>
      <c r="N8" s="1">
        <v>1740000</v>
      </c>
      <c r="O8">
        <v>0.65</v>
      </c>
      <c r="P8" s="1">
        <v>1250000</v>
      </c>
    </row>
    <row r="9" spans="1:16" x14ac:dyDescent="0.35">
      <c r="A9">
        <v>0.65500000000000003</v>
      </c>
      <c r="B9" s="1">
        <v>31200000</v>
      </c>
      <c r="C9">
        <v>0.65500000000000003</v>
      </c>
      <c r="D9" s="1">
        <v>26000000</v>
      </c>
      <c r="E9">
        <v>0.65500000000000003</v>
      </c>
      <c r="F9" s="1">
        <v>12000000</v>
      </c>
      <c r="G9">
        <v>0.65500000000000003</v>
      </c>
      <c r="H9" s="1">
        <v>9120000</v>
      </c>
      <c r="I9">
        <v>0.65500000000000003</v>
      </c>
      <c r="J9" s="1">
        <v>7520000</v>
      </c>
      <c r="K9">
        <v>0.65500000000000003</v>
      </c>
      <c r="L9" s="1">
        <v>5440000</v>
      </c>
      <c r="M9">
        <v>0.65500000000000003</v>
      </c>
      <c r="N9" s="1">
        <v>4020000</v>
      </c>
      <c r="O9">
        <v>0.65500000000000003</v>
      </c>
      <c r="P9" s="1">
        <v>2500000</v>
      </c>
    </row>
    <row r="10" spans="1:16" x14ac:dyDescent="0.35">
      <c r="A10">
        <v>0.66</v>
      </c>
      <c r="B10" s="1">
        <v>65000000</v>
      </c>
      <c r="C10">
        <v>0.66</v>
      </c>
      <c r="D10" s="1">
        <v>63900000</v>
      </c>
      <c r="E10">
        <v>0.66</v>
      </c>
      <c r="F10" s="1">
        <v>51000000</v>
      </c>
      <c r="G10">
        <v>0.66</v>
      </c>
      <c r="H10" s="1">
        <v>59800000</v>
      </c>
      <c r="I10">
        <v>0.66</v>
      </c>
      <c r="J10" s="1">
        <v>34700000</v>
      </c>
      <c r="K10">
        <v>0.66</v>
      </c>
      <c r="L10" s="1">
        <v>16300000</v>
      </c>
      <c r="M10">
        <v>0.66</v>
      </c>
      <c r="N10" s="1">
        <v>11500000</v>
      </c>
      <c r="O10">
        <v>0.66</v>
      </c>
      <c r="P10" s="1">
        <v>5800000</v>
      </c>
    </row>
    <row r="11" spans="1:16" x14ac:dyDescent="0.35">
      <c r="A11">
        <v>0.66500000000000004</v>
      </c>
      <c r="B11" s="1">
        <v>99000000</v>
      </c>
      <c r="C11">
        <v>0.66500000000000004</v>
      </c>
      <c r="D11" s="1">
        <v>100000000</v>
      </c>
      <c r="E11">
        <v>0.66500000000000004</v>
      </c>
      <c r="F11" s="1">
        <v>97000000</v>
      </c>
      <c r="G11">
        <v>0.66500000000000004</v>
      </c>
      <c r="H11" s="1">
        <v>94700000</v>
      </c>
      <c r="I11">
        <v>0.66500000000000004</v>
      </c>
      <c r="J11" s="1">
        <v>88700000</v>
      </c>
      <c r="K11">
        <v>0.66500000000000004</v>
      </c>
      <c r="L11" s="1">
        <v>55300000</v>
      </c>
      <c r="M11">
        <v>0.66500000000000004</v>
      </c>
      <c r="N11" s="1">
        <v>30200000</v>
      </c>
      <c r="O11">
        <v>0.66500000000000004</v>
      </c>
      <c r="P11" s="1">
        <v>12000000</v>
      </c>
    </row>
    <row r="12" spans="1:16" x14ac:dyDescent="0.35">
      <c r="A12">
        <v>0.67</v>
      </c>
      <c r="B12" s="1">
        <v>135000000</v>
      </c>
      <c r="C12">
        <v>0.67</v>
      </c>
      <c r="D12" s="1">
        <v>145000000</v>
      </c>
      <c r="E12">
        <v>0.67</v>
      </c>
      <c r="F12" s="1">
        <v>130000000</v>
      </c>
      <c r="G12">
        <v>0.67</v>
      </c>
      <c r="H12" s="1">
        <v>145000000</v>
      </c>
      <c r="I12">
        <v>0.67</v>
      </c>
      <c r="J12" s="1">
        <v>130000000</v>
      </c>
      <c r="K12">
        <v>0.67</v>
      </c>
      <c r="L12" s="1">
        <v>110000000</v>
      </c>
      <c r="M12">
        <v>0.67</v>
      </c>
      <c r="N12" s="1">
        <v>65900000</v>
      </c>
      <c r="O12">
        <v>0.67</v>
      </c>
      <c r="P12" s="1">
        <v>24000000</v>
      </c>
    </row>
    <row r="13" spans="1:16" x14ac:dyDescent="0.35">
      <c r="A13">
        <v>0.67500000000000004</v>
      </c>
      <c r="B13" s="1">
        <v>180000000</v>
      </c>
      <c r="C13">
        <v>0.67500000000000004</v>
      </c>
      <c r="D13" s="1">
        <v>179000000</v>
      </c>
      <c r="E13">
        <v>0.67500000000000004</v>
      </c>
      <c r="F13" s="1">
        <v>170000000</v>
      </c>
      <c r="G13">
        <v>0.67500000000000004</v>
      </c>
      <c r="H13" s="1">
        <v>169000000</v>
      </c>
      <c r="I13">
        <v>0.67500000000000004</v>
      </c>
      <c r="J13" s="1">
        <v>167000000</v>
      </c>
      <c r="K13">
        <v>0.67500000000000004</v>
      </c>
      <c r="L13" s="1">
        <v>150000000</v>
      </c>
      <c r="M13">
        <v>0.67500000000000004</v>
      </c>
      <c r="N13" s="1">
        <v>112000000</v>
      </c>
      <c r="O13">
        <v>0.67500000000000004</v>
      </c>
      <c r="P13" s="1">
        <v>53900000</v>
      </c>
    </row>
    <row r="14" spans="1:16" x14ac:dyDescent="0.35">
      <c r="A14">
        <v>0.68</v>
      </c>
      <c r="B14" s="1">
        <v>213000000</v>
      </c>
      <c r="C14">
        <v>0.68</v>
      </c>
      <c r="D14" s="1">
        <v>223000000</v>
      </c>
      <c r="E14">
        <v>0.68</v>
      </c>
      <c r="F14" s="1">
        <v>213000000</v>
      </c>
      <c r="G14">
        <v>0.68</v>
      </c>
      <c r="H14" s="1">
        <v>194000000</v>
      </c>
      <c r="I14">
        <v>0.68</v>
      </c>
      <c r="J14" s="1">
        <v>195000000</v>
      </c>
      <c r="K14">
        <v>0.68</v>
      </c>
      <c r="L14" s="1">
        <v>183000000</v>
      </c>
      <c r="M14">
        <v>0.68</v>
      </c>
      <c r="N14" s="1">
        <v>162000000</v>
      </c>
      <c r="O14">
        <v>0.68</v>
      </c>
      <c r="P14" s="1">
        <v>97300000</v>
      </c>
    </row>
    <row r="15" spans="1:16" x14ac:dyDescent="0.35">
      <c r="A15">
        <v>0.68500000000000005</v>
      </c>
      <c r="B15" s="1">
        <v>249000000</v>
      </c>
      <c r="C15">
        <v>0.68500000000000005</v>
      </c>
      <c r="D15" s="1">
        <v>257000000</v>
      </c>
      <c r="E15">
        <v>0.68500000000000005</v>
      </c>
      <c r="F15" s="1">
        <v>257000000</v>
      </c>
      <c r="G15">
        <v>0.68500000000000005</v>
      </c>
      <c r="H15" s="1">
        <v>253000000</v>
      </c>
      <c r="I15">
        <v>0.68500000000000005</v>
      </c>
      <c r="J15" s="1">
        <v>242000000</v>
      </c>
      <c r="K15">
        <v>0.68500000000000005</v>
      </c>
      <c r="L15" s="1">
        <v>210000000</v>
      </c>
      <c r="M15">
        <v>0.68500000000000005</v>
      </c>
      <c r="N15" s="1">
        <v>206000000</v>
      </c>
      <c r="O15">
        <v>0.68500000000000005</v>
      </c>
      <c r="P15" s="1">
        <v>135000000</v>
      </c>
    </row>
    <row r="16" spans="1:16" x14ac:dyDescent="0.35">
      <c r="A16">
        <v>0.69</v>
      </c>
      <c r="B16" s="1">
        <v>305000000</v>
      </c>
      <c r="C16">
        <v>0.69</v>
      </c>
      <c r="D16" s="1">
        <v>308000000</v>
      </c>
      <c r="E16">
        <v>0.69</v>
      </c>
      <c r="F16" s="1">
        <v>305000000</v>
      </c>
      <c r="G16">
        <v>0.69</v>
      </c>
      <c r="H16" s="1">
        <v>282000000</v>
      </c>
      <c r="I16">
        <v>0.69</v>
      </c>
      <c r="J16" s="1">
        <v>273000000</v>
      </c>
      <c r="K16">
        <v>0.69</v>
      </c>
      <c r="L16" s="1">
        <v>248000000</v>
      </c>
      <c r="M16">
        <v>0.69</v>
      </c>
      <c r="N16" s="1">
        <v>234000000</v>
      </c>
      <c r="O16">
        <v>0.69</v>
      </c>
      <c r="P16" s="1">
        <v>167000000</v>
      </c>
    </row>
    <row r="17" spans="1:19" x14ac:dyDescent="0.35">
      <c r="A17">
        <v>0.69499999999999995</v>
      </c>
      <c r="B17" s="1">
        <v>342000000</v>
      </c>
      <c r="C17">
        <v>0.69499999999999995</v>
      </c>
      <c r="D17" s="1">
        <v>323000000</v>
      </c>
      <c r="E17">
        <v>0.69499999999999995</v>
      </c>
      <c r="F17" s="1">
        <v>335000000</v>
      </c>
      <c r="G17">
        <v>0.69499999999999995</v>
      </c>
      <c r="H17" s="1">
        <v>303000000</v>
      </c>
      <c r="I17">
        <v>0.69499999999999995</v>
      </c>
      <c r="J17" s="1">
        <v>292000000</v>
      </c>
      <c r="K17">
        <v>0.69499999999999995</v>
      </c>
      <c r="L17" s="1">
        <v>279000000</v>
      </c>
      <c r="M17">
        <v>0.69499999999999995</v>
      </c>
      <c r="N17" s="1">
        <v>258000000</v>
      </c>
      <c r="O17">
        <v>0.69499999999999995</v>
      </c>
      <c r="P17" s="1">
        <v>186000000</v>
      </c>
    </row>
    <row r="18" spans="1:19" x14ac:dyDescent="0.35">
      <c r="A18">
        <v>0.7</v>
      </c>
      <c r="B18" s="1">
        <v>407000000</v>
      </c>
      <c r="C18">
        <v>0.7</v>
      </c>
      <c r="D18" s="1">
        <v>365000000</v>
      </c>
      <c r="E18">
        <v>0.7</v>
      </c>
      <c r="F18" s="1">
        <v>350000000</v>
      </c>
      <c r="G18">
        <v>0.7</v>
      </c>
      <c r="H18" s="1">
        <v>370000000</v>
      </c>
      <c r="I18">
        <v>0.7</v>
      </c>
      <c r="J18" s="1">
        <v>337000000</v>
      </c>
      <c r="K18">
        <v>0.7</v>
      </c>
      <c r="L18" s="1">
        <v>310000000</v>
      </c>
      <c r="M18">
        <v>0.7</v>
      </c>
      <c r="N18" s="1">
        <v>284000000</v>
      </c>
      <c r="O18">
        <v>0.7</v>
      </c>
      <c r="P18" s="1">
        <v>201000000</v>
      </c>
    </row>
    <row r="20" spans="1:19" x14ac:dyDescent="0.35">
      <c r="B20">
        <f>3^(0/7)</f>
        <v>1</v>
      </c>
      <c r="D20">
        <f>3^(1/7)</f>
        <v>1.1699308127586869</v>
      </c>
      <c r="F20">
        <f>3^(2/7)</f>
        <v>1.3687381066422017</v>
      </c>
      <c r="H20">
        <f>3^(3/7)</f>
        <v>1.6013288855576973</v>
      </c>
      <c r="J20">
        <f>3^(4/7)</f>
        <v>1.8734440045744791</v>
      </c>
      <c r="L20">
        <f>3^(5/7)</f>
        <v>2.1917998669297094</v>
      </c>
      <c r="N20">
        <f>3^(6/7)</f>
        <v>2.5642541997214567</v>
      </c>
      <c r="P20">
        <f>3^(7/7)</f>
        <v>3</v>
      </c>
    </row>
    <row r="21" spans="1:19" x14ac:dyDescent="0.35">
      <c r="B21" s="1">
        <f>B2/C21</f>
        <v>24900</v>
      </c>
      <c r="C21">
        <f>B$20^$S21</f>
        <v>1</v>
      </c>
      <c r="D21" s="1">
        <f>D2/E21</f>
        <v>28206.796196936022</v>
      </c>
      <c r="E21">
        <f>D$20^$S21</f>
        <v>1.1699308127586869</v>
      </c>
      <c r="F21" s="1">
        <f>F2/G21</f>
        <v>32876.998003945642</v>
      </c>
      <c r="G21">
        <f>F$20^$S21</f>
        <v>1.3687381066422017</v>
      </c>
      <c r="H21" s="1">
        <f>H2/I21</f>
        <v>35345.643552971836</v>
      </c>
      <c r="I21">
        <f>H$20^$S21</f>
        <v>1.6013288855576973</v>
      </c>
      <c r="J21" s="1">
        <f>J2/K21</f>
        <v>46438.53768117322</v>
      </c>
      <c r="K21">
        <f>J$20^$S21</f>
        <v>1.8734440045744791</v>
      </c>
      <c r="L21" s="1">
        <f>L2/M21</f>
        <v>58855.738585614672</v>
      </c>
      <c r="M21">
        <f>L$20^$S21</f>
        <v>2.1917998669297094</v>
      </c>
      <c r="N21" s="1">
        <f>N2/O21</f>
        <v>74095.6181413835</v>
      </c>
      <c r="O21">
        <f>N$20^$S21</f>
        <v>2.5642541997214567</v>
      </c>
      <c r="P21" s="1">
        <f>P2/Q21</f>
        <v>121333.33333333333</v>
      </c>
      <c r="Q21">
        <f>P$20^$S21</f>
        <v>3</v>
      </c>
      <c r="R21">
        <v>16</v>
      </c>
      <c r="S21">
        <f>R21/16</f>
        <v>1</v>
      </c>
    </row>
    <row r="22" spans="1:19" x14ac:dyDescent="0.35">
      <c r="B22" s="1">
        <f t="shared" ref="B22" si="0">B3/C22</f>
        <v>28300</v>
      </c>
      <c r="C22">
        <f t="shared" ref="C22" si="1">B$20^$S22</f>
        <v>1</v>
      </c>
      <c r="D22" s="1">
        <f t="shared" ref="D22" si="2">D3/E22</f>
        <v>31937.546957903909</v>
      </c>
      <c r="E22">
        <f t="shared" ref="E22" si="3">D$20^$S22</f>
        <v>1.1585110167906378</v>
      </c>
      <c r="F22" s="1">
        <f t="shared" ref="F22" si="4">F3/G22</f>
        <v>37253.721902422098</v>
      </c>
      <c r="G22">
        <f t="shared" ref="G22" si="5">F$20^$S22</f>
        <v>1.3421477760252778</v>
      </c>
      <c r="H22" s="1">
        <f t="shared" ref="H22" si="6">H3/I22</f>
        <v>47012.881735231553</v>
      </c>
      <c r="I22">
        <f t="shared" ref="I22" si="7">H$20^$S22</f>
        <v>1.5548929846863377</v>
      </c>
      <c r="J22" s="1">
        <f t="shared" ref="J22" si="8">J3/K22</f>
        <v>49962.23264098815</v>
      </c>
      <c r="K22">
        <f t="shared" ref="K22" si="9">J$20^$S22</f>
        <v>1.8013606526895989</v>
      </c>
      <c r="L22" s="1">
        <f t="shared" ref="L22" si="10">L3/M22</f>
        <v>66606.09309368339</v>
      </c>
      <c r="M22">
        <f t="shared" ref="M22" si="11">L$20^$S22</f>
        <v>2.0868961613540744</v>
      </c>
      <c r="N22" s="1">
        <f t="shared" ref="N22:P37" si="12">N3/O22</f>
        <v>86446.074704484694</v>
      </c>
      <c r="O22">
        <f t="shared" ref="O22:Q37" si="13">N$20^$S22</f>
        <v>2.4176921938267881</v>
      </c>
      <c r="P22" s="1">
        <f t="shared" si="12"/>
        <v>142453.03924869761</v>
      </c>
      <c r="Q22">
        <f t="shared" si="13"/>
        <v>2.8009230417570601</v>
      </c>
      <c r="R22">
        <v>15</v>
      </c>
      <c r="S22">
        <f t="shared" ref="S22:S37" si="14">R22/16</f>
        <v>0.9375</v>
      </c>
    </row>
    <row r="23" spans="1:19" x14ac:dyDescent="0.35">
      <c r="B23" s="1">
        <f t="shared" ref="B23" si="15">B4/C23</f>
        <v>33900</v>
      </c>
      <c r="C23">
        <f t="shared" ref="C23" si="16">B$20^$S23</f>
        <v>1</v>
      </c>
      <c r="D23" s="1">
        <f t="shared" ref="D23" si="17">D4/E23</f>
        <v>35826.27581202834</v>
      </c>
      <c r="E23">
        <f t="shared" ref="E23" si="18">D$20^$S23</f>
        <v>1.1472026904398771</v>
      </c>
      <c r="F23" s="1">
        <f t="shared" ref="F23" si="19">F4/G23</f>
        <v>45590.141139095547</v>
      </c>
      <c r="G23">
        <f t="shared" ref="G23" si="20">F$20^$S23</f>
        <v>1.3160740129524926</v>
      </c>
      <c r="H23" s="1">
        <f t="shared" ref="H23" si="21">H4/I23</f>
        <v>44906.501629127662</v>
      </c>
      <c r="I23">
        <f t="shared" ref="I23" si="22">H$20^$S23</f>
        <v>1.5098036484771049</v>
      </c>
      <c r="J23" s="1">
        <f t="shared" ref="J23" si="23">J4/K23</f>
        <v>54848.275573014442</v>
      </c>
      <c r="K23">
        <f t="shared" ref="K23" si="24">J$20^$S23</f>
        <v>1.7320508075688774</v>
      </c>
      <c r="L23" s="1">
        <f t="shared" ref="L23" si="25">L4/M23</f>
        <v>76999.986072332351</v>
      </c>
      <c r="M23">
        <f t="shared" ref="M23" si="26">L$20^$S23</f>
        <v>1.9870133464215778</v>
      </c>
      <c r="N23" s="1">
        <f t="shared" si="12"/>
        <v>105285.9210361994</v>
      </c>
      <c r="O23">
        <f t="shared" si="13"/>
        <v>2.2795070569547775</v>
      </c>
      <c r="P23" s="1">
        <f t="shared" si="12"/>
        <v>166344.39011378217</v>
      </c>
      <c r="Q23">
        <f t="shared" si="13"/>
        <v>2.615056628615207</v>
      </c>
      <c r="R23">
        <v>14</v>
      </c>
      <c r="S23">
        <f t="shared" si="14"/>
        <v>0.875</v>
      </c>
    </row>
    <row r="24" spans="1:19" x14ac:dyDescent="0.35">
      <c r="B24" s="1">
        <f t="shared" ref="B24" si="27">B5/C24</f>
        <v>45800</v>
      </c>
      <c r="C24">
        <f t="shared" ref="C24" si="28">B$20^$S24</f>
        <v>1</v>
      </c>
      <c r="D24" s="1">
        <f t="shared" ref="D24" si="29">D5/E24</f>
        <v>52112.458356459851</v>
      </c>
      <c r="E24">
        <f t="shared" ref="E24" si="30">D$20^$S24</f>
        <v>1.1360047456418179</v>
      </c>
      <c r="F24" s="1">
        <f t="shared" ref="F24" si="31">F5/G24</f>
        <v>61991.150382436128</v>
      </c>
      <c r="G24">
        <f t="shared" ref="G24" si="32">F$20^$S24</f>
        <v>1.2905067821207314</v>
      </c>
      <c r="H24" s="1">
        <f t="shared" ref="H24" si="33">H5/I24</f>
        <v>65960.818660519624</v>
      </c>
      <c r="I24">
        <f t="shared" ref="I24" si="34">H$20^$S24</f>
        <v>1.4660218287721025</v>
      </c>
      <c r="J24" s="1">
        <f t="shared" ref="J24" si="35">J5/K24</f>
        <v>72054.42610758396</v>
      </c>
      <c r="K24">
        <f t="shared" ref="K24" si="36">J$20^$S24</f>
        <v>1.6654077546996051</v>
      </c>
      <c r="L24" s="1">
        <f t="shared" ref="L24" si="37">L5/M24</f>
        <v>100427.55112425615</v>
      </c>
      <c r="M24">
        <f t="shared" ref="M24" si="38">L$20^$S24</f>
        <v>1.891911112767436</v>
      </c>
      <c r="N24" s="1">
        <f t="shared" si="12"/>
        <v>127953.39690132567</v>
      </c>
      <c r="O24">
        <f t="shared" si="13"/>
        <v>2.1492200024362997</v>
      </c>
      <c r="P24" s="1">
        <f t="shared" si="12"/>
        <v>194960.18723414288</v>
      </c>
      <c r="Q24">
        <f t="shared" si="13"/>
        <v>2.4415241221959563</v>
      </c>
      <c r="R24">
        <v>13</v>
      </c>
      <c r="S24">
        <f t="shared" si="14"/>
        <v>0.8125</v>
      </c>
    </row>
    <row r="25" spans="1:19" x14ac:dyDescent="0.35">
      <c r="B25" s="1">
        <f t="shared" ref="B25" si="39">B6/C25</f>
        <v>77000</v>
      </c>
      <c r="C25">
        <f t="shared" ref="C25" si="40">B$20^$S25</f>
        <v>1</v>
      </c>
      <c r="D25" s="1">
        <f t="shared" ref="D25" si="41">D6/E25</f>
        <v>97785.069940516405</v>
      </c>
      <c r="E25">
        <f t="shared" ref="E25" si="42">D$20^$S25</f>
        <v>1.1249161049525664</v>
      </c>
      <c r="F25" s="1">
        <f t="shared" ref="F25" si="43">F6/G25</f>
        <v>94828.95771839685</v>
      </c>
      <c r="G25">
        <f t="shared" ref="G25" si="44">F$20^$S25</f>
        <v>1.2654362431816537</v>
      </c>
      <c r="H25" s="1">
        <f t="shared" ref="H25" si="45">H6/I25</f>
        <v>118018.17061846903</v>
      </c>
      <c r="I25">
        <f t="shared" ref="I25" si="46">H$20^$S25</f>
        <v>1.4235096097457145</v>
      </c>
      <c r="J25" s="1">
        <f t="shared" ref="J25" si="47">J6/K25</f>
        <v>119900.41629276666</v>
      </c>
      <c r="K25">
        <f t="shared" ref="K25" si="48">J$20^$S25</f>
        <v>1.6013288855576973</v>
      </c>
      <c r="L25" s="1">
        <f t="shared" ref="L25" si="49">L6/M25</f>
        <v>132677.48445773521</v>
      </c>
      <c r="M25">
        <f t="shared" ref="M25" si="50">L$20^$S25</f>
        <v>1.8013606526895989</v>
      </c>
      <c r="N25" s="1">
        <f t="shared" si="12"/>
        <v>197396.38033064152</v>
      </c>
      <c r="O25">
        <f t="shared" si="13"/>
        <v>2.0263796090383965</v>
      </c>
      <c r="P25" s="1">
        <f t="shared" si="12"/>
        <v>261898.72857754602</v>
      </c>
      <c r="Q25">
        <f t="shared" si="13"/>
        <v>2.2795070569547775</v>
      </c>
      <c r="R25">
        <v>12</v>
      </c>
      <c r="S25">
        <f t="shared" si="14"/>
        <v>0.75</v>
      </c>
    </row>
    <row r="26" spans="1:19" x14ac:dyDescent="0.35">
      <c r="B26" s="1">
        <f t="shared" ref="B26" si="51">B7/C26</f>
        <v>190000</v>
      </c>
      <c r="C26">
        <f t="shared" ref="C26" si="52">B$20^$S26</f>
        <v>1</v>
      </c>
      <c r="D26" s="1">
        <f t="shared" ref="D26" si="53">D7/E26</f>
        <v>269315.36498091527</v>
      </c>
      <c r="E26">
        <f t="shared" ref="E26" si="54">D$20^$S26</f>
        <v>1.1139357014452522</v>
      </c>
      <c r="F26" s="1">
        <f t="shared" ref="F26" si="55">F7/G26</f>
        <v>225651.27142383353</v>
      </c>
      <c r="G26">
        <f t="shared" ref="G26" si="56">F$20^$S26</f>
        <v>1.2408527469543258</v>
      </c>
      <c r="H26" s="1">
        <f t="shared" ref="H26" si="57">H7/I26</f>
        <v>502087.14331203117</v>
      </c>
      <c r="I26">
        <f t="shared" ref="I26" si="58">H$20^$S26</f>
        <v>1.3822301750688348</v>
      </c>
      <c r="J26" s="1">
        <f t="shared" ref="J26" si="59">J7/K26</f>
        <v>324735.30800505477</v>
      </c>
      <c r="K26">
        <f t="shared" ref="K26" si="60">J$20^$S26</f>
        <v>1.5397155396240962</v>
      </c>
      <c r="L26" s="1">
        <f t="shared" ref="L26" si="61">L7/M26</f>
        <v>349824.83199028519</v>
      </c>
      <c r="M26">
        <f t="shared" ref="M26" si="62">L$20^$S26</f>
        <v>1.7151441096573221</v>
      </c>
      <c r="N26" s="1">
        <f t="shared" si="12"/>
        <v>378946.43594533415</v>
      </c>
      <c r="O26">
        <f t="shared" si="13"/>
        <v>1.9105602568708218</v>
      </c>
      <c r="P26" s="1">
        <f t="shared" si="12"/>
        <v>361801.08302358532</v>
      </c>
      <c r="Q26">
        <f t="shared" si="13"/>
        <v>2.1282412798908199</v>
      </c>
      <c r="R26">
        <v>11</v>
      </c>
      <c r="S26">
        <f t="shared" si="14"/>
        <v>0.6875</v>
      </c>
    </row>
    <row r="27" spans="1:19" x14ac:dyDescent="0.35">
      <c r="B27" s="1">
        <f t="shared" ref="B27" si="63">B8/C27</f>
        <v>4200000</v>
      </c>
      <c r="C27">
        <f t="shared" ref="C27" si="64">B$20^$S27</f>
        <v>1</v>
      </c>
      <c r="D27" s="1">
        <f t="shared" ref="D27" si="65">D8/E27</f>
        <v>3463085.7943992428</v>
      </c>
      <c r="E27">
        <f t="shared" ref="E27" si="66">D$20^$S27</f>
        <v>1.1030624786073695</v>
      </c>
      <c r="F27" s="1">
        <f t="shared" ref="F27" si="67">F8/G27</f>
        <v>1808100.044037556</v>
      </c>
      <c r="G27">
        <f t="shared" ref="G27" si="68">F$20^$S27</f>
        <v>1.2167468317114336</v>
      </c>
      <c r="H27" s="1">
        <f t="shared" ref="H27" si="69">H8/I27</f>
        <v>2205420.3366233888</v>
      </c>
      <c r="I27">
        <f t="shared" ref="I27" si="70">H$20^$S27</f>
        <v>1.3421477760252776</v>
      </c>
      <c r="J27" s="1">
        <f t="shared" ref="J27" si="71">J8/K27</f>
        <v>1040208.1993063769</v>
      </c>
      <c r="K27">
        <f t="shared" ref="K27" si="72">J$20^$S27</f>
        <v>1.4804728524798114</v>
      </c>
      <c r="L27" s="1">
        <f t="shared" ref="L27" si="73">L8/M27</f>
        <v>900153.9148375314</v>
      </c>
      <c r="M27">
        <f t="shared" ref="M27" si="74">L$20^$S27</f>
        <v>1.6330540541673031</v>
      </c>
      <c r="N27" s="1">
        <f t="shared" si="12"/>
        <v>965936.49772577093</v>
      </c>
      <c r="O27">
        <f t="shared" si="13"/>
        <v>1.8013606526895989</v>
      </c>
      <c r="P27" s="1">
        <f t="shared" si="12"/>
        <v>629084.85353212699</v>
      </c>
      <c r="Q27">
        <f t="shared" si="13"/>
        <v>1.987013346421578</v>
      </c>
      <c r="R27">
        <v>10</v>
      </c>
      <c r="S27">
        <f t="shared" si="14"/>
        <v>0.625</v>
      </c>
    </row>
    <row r="28" spans="1:19" x14ac:dyDescent="0.35">
      <c r="B28" s="1">
        <f t="shared" ref="B28" si="75">B9/C28</f>
        <v>31200000</v>
      </c>
      <c r="C28">
        <f t="shared" ref="C28" si="76">B$20^$S28</f>
        <v>1</v>
      </c>
      <c r="D28" s="1">
        <f t="shared" ref="D28" si="77">D9/E28</f>
        <v>23803084.982632879</v>
      </c>
      <c r="E28">
        <f t="shared" ref="E28" si="78">D$20^$S28</f>
        <v>1.0922953902391235</v>
      </c>
      <c r="F28" s="1">
        <f t="shared" ref="F28" si="79">F9/G28</f>
        <v>10057754.816990109</v>
      </c>
      <c r="G28">
        <f t="shared" ref="G28" si="80">F$20^$S28</f>
        <v>1.1931092195376392</v>
      </c>
      <c r="H28" s="1">
        <f t="shared" ref="H28" si="81">H9/I28</f>
        <v>6998009.6311118677</v>
      </c>
      <c r="I28">
        <f t="shared" ref="I28" si="82">H$20^$S28</f>
        <v>1.3032277005527617</v>
      </c>
      <c r="J28" s="1">
        <f t="shared" ref="J28" si="83">J9/K28</f>
        <v>5282718.1133981375</v>
      </c>
      <c r="K28">
        <f t="shared" ref="K28" si="84">J$20^$S28</f>
        <v>1.4235096097457145</v>
      </c>
      <c r="L28" s="1">
        <f t="shared" ref="L28" si="85">L9/M28</f>
        <v>3498633.0593660688</v>
      </c>
      <c r="M28">
        <f t="shared" ref="M28" si="86">L$20^$S28</f>
        <v>1.5548929846863377</v>
      </c>
      <c r="N28" s="1">
        <f t="shared" si="12"/>
        <v>2366930.184822259</v>
      </c>
      <c r="O28">
        <f t="shared" si="13"/>
        <v>1.698402439488039</v>
      </c>
      <c r="P28" s="1">
        <f t="shared" si="12"/>
        <v>1347594.7267815531</v>
      </c>
      <c r="Q28">
        <f t="shared" si="13"/>
        <v>1.855157155423667</v>
      </c>
      <c r="R28">
        <v>9</v>
      </c>
      <c r="S28">
        <f t="shared" si="14"/>
        <v>0.5625</v>
      </c>
    </row>
    <row r="29" spans="1:19" x14ac:dyDescent="0.35">
      <c r="B29" s="1">
        <f t="shared" ref="B29" si="87">B10/C29</f>
        <v>65000000</v>
      </c>
      <c r="C29">
        <f t="shared" ref="C29" si="88">B$20^$S29</f>
        <v>1</v>
      </c>
      <c r="D29" s="1">
        <f t="shared" ref="D29" si="89">D10/E29</f>
        <v>59077317.674509257</v>
      </c>
      <c r="E29">
        <f t="shared" ref="E29" si="90">D$20^$S29</f>
        <v>1.0816334003527659</v>
      </c>
      <c r="F29" s="1">
        <f t="shared" ref="F29" si="91">F10/G29</f>
        <v>43592321.39526476</v>
      </c>
      <c r="G29">
        <f t="shared" ref="G29" si="92">F$20^$S29</f>
        <v>1.1699308127586869</v>
      </c>
      <c r="H29" s="1">
        <f t="shared" ref="H29" si="93">H10/I29</f>
        <v>47256430.596334435</v>
      </c>
      <c r="I29">
        <f t="shared" ref="I29" si="94">H$20^$S29</f>
        <v>1.2654362431816537</v>
      </c>
      <c r="J29" s="1">
        <f t="shared" ref="J29" si="95">J10/K29</f>
        <v>25351818.460820302</v>
      </c>
      <c r="K29">
        <f t="shared" ref="K29" si="96">J$20^$S29</f>
        <v>1.3687381066422017</v>
      </c>
      <c r="L29" s="1">
        <f t="shared" ref="L29" si="97">L10/M29</f>
        <v>11009995.875775289</v>
      </c>
      <c r="M29">
        <f t="shared" ref="M29" si="98">L$20^$S29</f>
        <v>1.4804728524798114</v>
      </c>
      <c r="N29" s="1">
        <f t="shared" si="12"/>
        <v>7181535.350868836</v>
      </c>
      <c r="O29">
        <f t="shared" si="13"/>
        <v>1.6013288855576973</v>
      </c>
      <c r="P29" s="1">
        <f t="shared" si="12"/>
        <v>3348631.5612998297</v>
      </c>
      <c r="Q29">
        <f t="shared" si="13"/>
        <v>1.7320508075688772</v>
      </c>
      <c r="R29">
        <v>8</v>
      </c>
      <c r="S29">
        <f t="shared" si="14"/>
        <v>0.5</v>
      </c>
    </row>
    <row r="30" spans="1:19" x14ac:dyDescent="0.35">
      <c r="B30" s="1">
        <f t="shared" ref="B30" si="99">B11/C30</f>
        <v>99000000</v>
      </c>
      <c r="C30">
        <f t="shared" ref="C30" si="100">B$20^$S30</f>
        <v>1</v>
      </c>
      <c r="D30" s="1">
        <f t="shared" ref="D30" si="101">D11/E30</f>
        <v>93364101.391901985</v>
      </c>
      <c r="E30">
        <f t="shared" ref="E30" si="102">D$20^$S30</f>
        <v>1.0710754830729146</v>
      </c>
      <c r="F30" s="1">
        <f t="shared" ref="F30" si="103">F11/G30</f>
        <v>84553497.658558354</v>
      </c>
      <c r="G30">
        <f t="shared" ref="G30" si="104">F$20^$S30</f>
        <v>1.1472026904398771</v>
      </c>
      <c r="H30" s="1">
        <f t="shared" ref="H30" si="105">H11/I30</f>
        <v>77070778.123985678</v>
      </c>
      <c r="I30">
        <f t="shared" ref="I30" si="106">H$20^$S30</f>
        <v>1.2287406758454384</v>
      </c>
      <c r="J30" s="1">
        <f t="shared" ref="J30" si="107">J11/K30</f>
        <v>67397425.317296252</v>
      </c>
      <c r="K30">
        <f t="shared" ref="K30" si="108">J$20^$S30</f>
        <v>1.3160740129524926</v>
      </c>
      <c r="L30" s="1">
        <f t="shared" ref="L30" si="109">L11/M30</f>
        <v>39230580.925987445</v>
      </c>
      <c r="M30">
        <f t="shared" ref="M30" si="110">L$20^$S30</f>
        <v>1.4096146091827999</v>
      </c>
      <c r="N30" s="1">
        <f t="shared" si="12"/>
        <v>20002601.020643886</v>
      </c>
      <c r="O30">
        <f t="shared" si="13"/>
        <v>1.5098036484771049</v>
      </c>
      <c r="P30" s="1">
        <f t="shared" si="12"/>
        <v>7420628.6216946673</v>
      </c>
      <c r="Q30">
        <f t="shared" si="13"/>
        <v>1.6171136721378641</v>
      </c>
      <c r="R30">
        <v>7</v>
      </c>
      <c r="S30">
        <f t="shared" si="14"/>
        <v>0.4375</v>
      </c>
    </row>
    <row r="31" spans="1:19" x14ac:dyDescent="0.35">
      <c r="B31" s="1">
        <f t="shared" ref="B31" si="111">B12/C31</f>
        <v>135000000</v>
      </c>
      <c r="C31">
        <f t="shared" ref="C31" si="112">B$20^$S31</f>
        <v>1</v>
      </c>
      <c r="D31" s="1">
        <f t="shared" ref="D31" si="113">D12/E31</f>
        <v>136712408.67733181</v>
      </c>
      <c r="E31">
        <f t="shared" ref="E31" si="114">D$20^$S31</f>
        <v>1.0606206225378454</v>
      </c>
      <c r="F31" s="1">
        <f t="shared" ref="F31" si="115">F12/G31</f>
        <v>115564173.56606483</v>
      </c>
      <c r="G31">
        <f t="shared" ref="G31" si="116">F$20^$S31</f>
        <v>1.1249161049525664</v>
      </c>
      <c r="H31" s="1">
        <f t="shared" ref="H31" si="117">H12/I31</f>
        <v>121531204.03863049</v>
      </c>
      <c r="I31">
        <f t="shared" ref="I31" si="118">H$20^$S31</f>
        <v>1.1931092195376392</v>
      </c>
      <c r="J31" s="1">
        <f t="shared" ref="J31" si="119">J12/K31</f>
        <v>102731370.8615966</v>
      </c>
      <c r="K31">
        <f t="shared" ref="K31" si="120">J$20^$S31</f>
        <v>1.2654362431816537</v>
      </c>
      <c r="L31" s="1">
        <f t="shared" ref="L31" si="121">L12/M31</f>
        <v>81958188.185328633</v>
      </c>
      <c r="M31">
        <f t="shared" ref="M31" si="122">L$20^$S31</f>
        <v>1.3421477760252776</v>
      </c>
      <c r="N31" s="1">
        <f t="shared" si="12"/>
        <v>46294032.403316125</v>
      </c>
      <c r="O31">
        <f t="shared" si="13"/>
        <v>1.4235096097457145</v>
      </c>
      <c r="P31" s="1">
        <f t="shared" si="12"/>
        <v>15896106.771372624</v>
      </c>
      <c r="Q31">
        <f t="shared" si="13"/>
        <v>1.5098036484771049</v>
      </c>
      <c r="R31">
        <v>6</v>
      </c>
      <c r="S31">
        <f t="shared" si="14"/>
        <v>0.375</v>
      </c>
    </row>
    <row r="32" spans="1:19" x14ac:dyDescent="0.35">
      <c r="B32" s="1">
        <f t="shared" ref="B32" si="123">B13/C32</f>
        <v>180000000</v>
      </c>
      <c r="C32">
        <f t="shared" ref="C32" si="124">B$20^$S32</f>
        <v>1</v>
      </c>
      <c r="D32" s="1">
        <f t="shared" ref="D32" si="125">D13/E32</f>
        <v>170432719.93882239</v>
      </c>
      <c r="E32">
        <f t="shared" ref="E32" si="126">D$20^$S32</f>
        <v>1.0502678128017489</v>
      </c>
      <c r="F32" s="1">
        <f t="shared" ref="F32" si="127">F13/G32</f>
        <v>154116383.52038515</v>
      </c>
      <c r="G32">
        <f t="shared" ref="G32" si="128">F$20^$S32</f>
        <v>1.1030624786073695</v>
      </c>
      <c r="H32" s="1">
        <f t="shared" ref="H32" si="129">H13/I32</f>
        <v>145876903.67258814</v>
      </c>
      <c r="I32">
        <f t="shared" ref="I32" si="130">H$20^$S32</f>
        <v>1.1585110167906378</v>
      </c>
      <c r="J32" s="1">
        <f t="shared" ref="J32" si="131">J13/K32</f>
        <v>137251230.61557814</v>
      </c>
      <c r="K32">
        <f t="shared" ref="K32" si="132">J$20^$S32</f>
        <v>1.2167468317114334</v>
      </c>
      <c r="L32" s="1">
        <f t="shared" ref="L32" si="133">L13/M32</f>
        <v>117379155.06354441</v>
      </c>
      <c r="M32">
        <f t="shared" ref="M32" si="134">L$20^$S32</f>
        <v>1.2779100336750249</v>
      </c>
      <c r="N32" s="1">
        <f t="shared" si="12"/>
        <v>83448337.061425507</v>
      </c>
      <c r="O32">
        <f t="shared" si="13"/>
        <v>1.3421477760252776</v>
      </c>
      <c r="P32" s="1">
        <f t="shared" si="12"/>
        <v>38237401.662038393</v>
      </c>
      <c r="Q32">
        <f t="shared" si="13"/>
        <v>1.4096146091828001</v>
      </c>
      <c r="R32">
        <v>5</v>
      </c>
      <c r="S32">
        <f t="shared" si="14"/>
        <v>0.3125</v>
      </c>
    </row>
    <row r="33" spans="2:19" x14ac:dyDescent="0.35">
      <c r="B33" s="1">
        <f t="shared" ref="B33" si="135">B14/C33</f>
        <v>213000000</v>
      </c>
      <c r="C33">
        <f t="shared" ref="C33" si="136">B$20^$S33</f>
        <v>1</v>
      </c>
      <c r="D33" s="1">
        <f t="shared" ref="D33" si="137">D14/E33</f>
        <v>214419766.25344652</v>
      </c>
      <c r="E33">
        <f t="shared" ref="E33" si="138">D$20^$S33</f>
        <v>1.0400160577379398</v>
      </c>
      <c r="F33" s="1">
        <f t="shared" ref="F33" si="139">F14/G33</f>
        <v>196924392.24836418</v>
      </c>
      <c r="G33">
        <f t="shared" ref="G33" si="140">F$20^$S33</f>
        <v>1.0816334003527659</v>
      </c>
      <c r="H33" s="1">
        <f t="shared" ref="H33" si="141">H14/I33</f>
        <v>172457305.16781983</v>
      </c>
      <c r="I33">
        <f t="shared" ref="I33" si="142">H$20^$S33</f>
        <v>1.1249161049525664</v>
      </c>
      <c r="J33" s="1">
        <f t="shared" ref="J33" si="143">J14/K33</f>
        <v>166676522.98189467</v>
      </c>
      <c r="K33">
        <f t="shared" ref="K33" si="144">J$20^$S33</f>
        <v>1.1699308127586869</v>
      </c>
      <c r="L33" s="1">
        <f t="shared" ref="L33" si="145">L14/M33</f>
        <v>150401049.11766946</v>
      </c>
      <c r="M33">
        <f t="shared" ref="M33" si="146">L$20^$S33</f>
        <v>1.2167468317114334</v>
      </c>
      <c r="N33" s="1">
        <f t="shared" si="12"/>
        <v>128019092.91983576</v>
      </c>
      <c r="O33">
        <f t="shared" si="13"/>
        <v>1.2654362431816537</v>
      </c>
      <c r="P33" s="1">
        <f t="shared" si="12"/>
        <v>73932012.21389994</v>
      </c>
      <c r="Q33">
        <f t="shared" si="13"/>
        <v>1.3160740129524926</v>
      </c>
      <c r="R33">
        <v>4</v>
      </c>
      <c r="S33">
        <f t="shared" si="14"/>
        <v>0.25</v>
      </c>
    </row>
    <row r="34" spans="2:19" x14ac:dyDescent="0.35">
      <c r="B34" s="1">
        <f t="shared" ref="B34" si="147">B15/C34</f>
        <v>249000000</v>
      </c>
      <c r="C34">
        <f t="shared" ref="C34" si="148">B$20^$S34</f>
        <v>1</v>
      </c>
      <c r="D34" s="1">
        <f t="shared" ref="D34" si="149">D15/E34</f>
        <v>249547423.18609765</v>
      </c>
      <c r="E34">
        <f t="shared" ref="E34" si="150">D$20^$S34</f>
        <v>1.0298643709430118</v>
      </c>
      <c r="F34" s="1">
        <f t="shared" ref="F34" si="151">F15/G34</f>
        <v>242310958.82809845</v>
      </c>
      <c r="G34">
        <f t="shared" ref="G34" si="152">F$20^$S34</f>
        <v>1.0606206225378454</v>
      </c>
      <c r="H34" s="1">
        <f t="shared" ref="H34" si="153">H15/I34</f>
        <v>231622326.94638917</v>
      </c>
      <c r="I34">
        <f t="shared" ref="I34" si="154">H$20^$S34</f>
        <v>1.0922953902391235</v>
      </c>
      <c r="J34" s="1">
        <f t="shared" ref="J34" si="155">J15/K34</f>
        <v>215127153.8691361</v>
      </c>
      <c r="K34">
        <f t="shared" ref="K34" si="156">J$20^$S34</f>
        <v>1.1249161049525664</v>
      </c>
      <c r="L34" s="1">
        <f t="shared" ref="L34" si="157">L15/M34</f>
        <v>181267158.40972489</v>
      </c>
      <c r="M34">
        <f t="shared" ref="M34" si="158">L$20^$S34</f>
        <v>1.1585110167906378</v>
      </c>
      <c r="N34" s="1">
        <f t="shared" si="12"/>
        <v>172658124.35833022</v>
      </c>
      <c r="O34">
        <f t="shared" si="13"/>
        <v>1.1931092195376392</v>
      </c>
      <c r="P34" s="1">
        <f t="shared" si="12"/>
        <v>109868585.49881802</v>
      </c>
      <c r="Q34">
        <f t="shared" si="13"/>
        <v>1.2287406758454384</v>
      </c>
      <c r="R34">
        <v>3</v>
      </c>
      <c r="S34">
        <f t="shared" si="14"/>
        <v>0.1875</v>
      </c>
    </row>
    <row r="35" spans="2:19" x14ac:dyDescent="0.35">
      <c r="B35" s="1">
        <f t="shared" ref="B35" si="159">B16/C35</f>
        <v>305000000</v>
      </c>
      <c r="C35">
        <f t="shared" ref="C35" si="160">B$20^$S35</f>
        <v>1</v>
      </c>
      <c r="D35" s="1">
        <f t="shared" ref="D35" si="161">D16/E35</f>
        <v>302016516.53426677</v>
      </c>
      <c r="E35">
        <f t="shared" ref="E35" si="162">D$20^$S35</f>
        <v>1.0198117756419269</v>
      </c>
      <c r="F35" s="1">
        <f t="shared" ref="F35" si="163">F16/G35</f>
        <v>293264702.7233237</v>
      </c>
      <c r="G35">
        <f t="shared" ref="G35" si="164">F$20^$S35</f>
        <v>1.0400160577379398</v>
      </c>
      <c r="H35" s="1">
        <f t="shared" ref="H35" si="165">H16/I35</f>
        <v>265882063.772466</v>
      </c>
      <c r="I35">
        <f t="shared" ref="I35" si="166">H$20^$S35</f>
        <v>1.0606206225378454</v>
      </c>
      <c r="J35" s="1">
        <f t="shared" ref="J35" si="167">J16/K35</f>
        <v>252396052.03663579</v>
      </c>
      <c r="K35">
        <f t="shared" ref="K35" si="168">J$20^$S35</f>
        <v>1.0816334003527659</v>
      </c>
      <c r="L35" s="1">
        <f t="shared" ref="L35" si="169">L16/M35</f>
        <v>224828606.54738539</v>
      </c>
      <c r="M35">
        <f t="shared" ref="M35" si="170">L$20^$S35</f>
        <v>1.1030624786073695</v>
      </c>
      <c r="N35" s="1">
        <f t="shared" si="12"/>
        <v>208015512.4189167</v>
      </c>
      <c r="O35">
        <f t="shared" si="13"/>
        <v>1.1249161049525664</v>
      </c>
      <c r="P35" s="1">
        <f t="shared" si="12"/>
        <v>145571485.65957984</v>
      </c>
      <c r="Q35">
        <f t="shared" si="13"/>
        <v>1.1472026904398771</v>
      </c>
      <c r="R35">
        <v>2</v>
      </c>
      <c r="S35">
        <f t="shared" si="14"/>
        <v>0.125</v>
      </c>
    </row>
    <row r="36" spans="2:19" x14ac:dyDescent="0.35">
      <c r="B36" s="1">
        <f t="shared" ref="B36" si="171">B17/C36</f>
        <v>342000000</v>
      </c>
      <c r="C36">
        <f t="shared" ref="C36" si="172">B$20^$S36</f>
        <v>1</v>
      </c>
      <c r="D36" s="1">
        <f t="shared" ref="D36" si="173">D17/E36</f>
        <v>319847169.0313189</v>
      </c>
      <c r="E36">
        <f t="shared" ref="E36" si="174">D$20^$S36</f>
        <v>1.0098573045940338</v>
      </c>
      <c r="F36" s="1">
        <f t="shared" ref="F36" si="175">F17/G36</f>
        <v>328491990.38629669</v>
      </c>
      <c r="G36">
        <f t="shared" ref="G36" si="176">F$20^$S36</f>
        <v>1.0198117756419269</v>
      </c>
      <c r="H36" s="1">
        <f t="shared" ref="H36" si="177">H17/I36</f>
        <v>294213498.9314692</v>
      </c>
      <c r="I36">
        <f t="shared" ref="I36" si="178">H$20^$S36</f>
        <v>1.0298643709430118</v>
      </c>
      <c r="J36" s="1">
        <f t="shared" ref="J36" si="179">J17/K36</f>
        <v>280764895.72200173</v>
      </c>
      <c r="K36">
        <f t="shared" ref="K36" si="180">J$20^$S36</f>
        <v>1.0400160577379398</v>
      </c>
      <c r="L36" s="1">
        <f t="shared" ref="L36" si="181">L17/M36</f>
        <v>265646529.96051088</v>
      </c>
      <c r="M36">
        <f t="shared" ref="M36" si="182">L$20^$S36</f>
        <v>1.0502678128017489</v>
      </c>
      <c r="N36" s="1">
        <f t="shared" si="12"/>
        <v>243253803.02587315</v>
      </c>
      <c r="O36">
        <f t="shared" si="13"/>
        <v>1.0606206225378454</v>
      </c>
      <c r="P36" s="1">
        <f t="shared" si="12"/>
        <v>173657228.5889377</v>
      </c>
      <c r="Q36">
        <f t="shared" si="13"/>
        <v>1.0710754830729146</v>
      </c>
      <c r="R36">
        <v>1</v>
      </c>
      <c r="S36">
        <f t="shared" si="14"/>
        <v>6.25E-2</v>
      </c>
    </row>
    <row r="37" spans="2:19" x14ac:dyDescent="0.35">
      <c r="B37" s="1">
        <f t="shared" ref="B37" si="183">B18/C37</f>
        <v>407000000</v>
      </c>
      <c r="C37">
        <f t="shared" ref="C37" si="184">B$20^$S37</f>
        <v>1</v>
      </c>
      <c r="D37" s="1">
        <f t="shared" ref="D37" si="185">D18/E37</f>
        <v>365000000</v>
      </c>
      <c r="E37">
        <f t="shared" ref="E37" si="186">D$20^$S37</f>
        <v>1</v>
      </c>
      <c r="F37" s="1">
        <f t="shared" ref="F37" si="187">F18/G37</f>
        <v>350000000</v>
      </c>
      <c r="G37">
        <f t="shared" ref="G37" si="188">F$20^$S37</f>
        <v>1</v>
      </c>
      <c r="H37" s="1">
        <f t="shared" ref="H37" si="189">H18/I37</f>
        <v>370000000</v>
      </c>
      <c r="I37">
        <f t="shared" ref="I37" si="190">H$20^$S37</f>
        <v>1</v>
      </c>
      <c r="J37" s="1">
        <f t="shared" ref="J37" si="191">J18/K37</f>
        <v>337000000</v>
      </c>
      <c r="K37">
        <f t="shared" ref="K37" si="192">J$20^$S37</f>
        <v>1</v>
      </c>
      <c r="L37" s="1">
        <f t="shared" ref="L37" si="193">L18/M37</f>
        <v>310000000</v>
      </c>
      <c r="M37">
        <f t="shared" ref="M37" si="194">L$20^$S37</f>
        <v>1</v>
      </c>
      <c r="N37" s="1">
        <f t="shared" si="12"/>
        <v>284000000</v>
      </c>
      <c r="O37">
        <f t="shared" si="13"/>
        <v>1</v>
      </c>
      <c r="P37" s="1">
        <f t="shared" si="12"/>
        <v>201000000</v>
      </c>
      <c r="Q37">
        <f t="shared" si="13"/>
        <v>1</v>
      </c>
      <c r="R37">
        <v>0</v>
      </c>
      <c r="S37">
        <f t="shared" si="1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2024-10-22T03:38:56Z</dcterms:modified>
</cp:coreProperties>
</file>