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PRL Manuscript\pic_draw_v2.0\4.3 fragility\"/>
    </mc:Choice>
  </mc:AlternateContent>
  <xr:revisionPtr revIDLastSave="0" documentId="13_ncr:1_{077F66FA-F45D-4323-BE62-21757644026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" l="1"/>
  <c r="AB2" i="1"/>
  <c r="AC2" i="1"/>
  <c r="AD2" i="1"/>
  <c r="AE2" i="1"/>
  <c r="AA3" i="1"/>
  <c r="AB3" i="1"/>
  <c r="AC3" i="1"/>
  <c r="AD3" i="1"/>
  <c r="AE3" i="1"/>
  <c r="AA4" i="1"/>
  <c r="AB4" i="1"/>
  <c r="AC4" i="1"/>
  <c r="AD4" i="1"/>
  <c r="AE4" i="1"/>
  <c r="AA5" i="1"/>
  <c r="AB5" i="1"/>
  <c r="AC5" i="1"/>
  <c r="AD5" i="1"/>
  <c r="AE5" i="1"/>
  <c r="AA6" i="1"/>
  <c r="AB6" i="1"/>
  <c r="AC6" i="1"/>
  <c r="AD6" i="1"/>
  <c r="AE6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E1" i="1"/>
  <c r="AC1" i="1"/>
  <c r="AD1" i="1"/>
  <c r="AB1" i="1"/>
  <c r="AA1" i="1"/>
  <c r="X2" i="1"/>
  <c r="Y2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" i="1"/>
  <c r="Y1" i="1"/>
  <c r="V2" i="1"/>
  <c r="W2" i="1"/>
  <c r="V3" i="1"/>
  <c r="W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W1" i="1"/>
  <c r="V1" i="1"/>
  <c r="U2" i="1"/>
  <c r="U3" i="1"/>
  <c r="U4" i="1"/>
  <c r="U5" i="1"/>
  <c r="U6" i="1"/>
  <c r="U7" i="1"/>
  <c r="U8" i="1"/>
  <c r="U9" i="1"/>
  <c r="U10" i="1"/>
  <c r="U11" i="1"/>
  <c r="U12" i="1"/>
  <c r="U13" i="1"/>
  <c r="U1" i="1"/>
  <c r="T2" i="1"/>
  <c r="T3" i="1"/>
  <c r="T4" i="1"/>
  <c r="T5" i="1"/>
  <c r="T6" i="1"/>
  <c r="T7" i="1"/>
  <c r="T8" i="1"/>
  <c r="T9" i="1"/>
  <c r="T10" i="1"/>
  <c r="T11" i="1"/>
  <c r="T12" i="1"/>
  <c r="T13" i="1"/>
  <c r="T1" i="1"/>
  <c r="S2" i="1"/>
  <c r="S3" i="1"/>
  <c r="S4" i="1"/>
  <c r="S5" i="1"/>
  <c r="S6" i="1"/>
  <c r="S7" i="1"/>
  <c r="S8" i="1"/>
  <c r="S9" i="1"/>
  <c r="S10" i="1"/>
  <c r="S11" i="1"/>
  <c r="S12" i="1"/>
  <c r="S13" i="1"/>
  <c r="S1" i="1"/>
  <c r="Q1" i="1"/>
  <c r="R2" i="1"/>
  <c r="R3" i="1"/>
  <c r="R4" i="1"/>
  <c r="R5" i="1"/>
  <c r="R6" i="1"/>
  <c r="R7" i="1"/>
  <c r="R8" i="1"/>
  <c r="R9" i="1"/>
  <c r="R10" i="1"/>
  <c r="R11" i="1"/>
  <c r="R12" i="1"/>
  <c r="R13" i="1"/>
  <c r="R1" i="1"/>
  <c r="P1" i="1"/>
  <c r="Q2" i="1"/>
  <c r="Q3" i="1"/>
  <c r="Q4" i="1"/>
  <c r="Q5" i="1"/>
  <c r="Q6" i="1"/>
  <c r="Q7" i="1"/>
  <c r="Q8" i="1"/>
  <c r="Q9" i="1"/>
  <c r="Q10" i="1"/>
  <c r="Q11" i="1"/>
  <c r="Q12" i="1"/>
  <c r="Q13" i="1"/>
  <c r="P2" i="1"/>
  <c r="P3" i="1"/>
  <c r="P4" i="1"/>
  <c r="P5" i="1"/>
  <c r="P6" i="1"/>
  <c r="P7" i="1"/>
  <c r="P8" i="1"/>
  <c r="P9" i="1"/>
  <c r="P10" i="1"/>
  <c r="P11" i="1"/>
  <c r="P12" i="1"/>
  <c r="P1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0.000_);[Red]\(0.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6" fontId="2" fillId="0" borderId="0" xfId="0" applyNumberFormat="1" applyFont="1"/>
    <xf numFmtId="177" fontId="0" fillId="0" borderId="0" xfId="0" applyNumberFormat="1"/>
    <xf numFmtId="176" fontId="3" fillId="0" borderId="0" xfId="0" applyNumberFormat="1" applyFont="1"/>
    <xf numFmtId="178" fontId="3" fillId="0" borderId="0" xfId="0" applyNumberFormat="1" applyFont="1"/>
    <xf numFmtId="177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topLeftCell="C1" zoomScale="72" zoomScaleNormal="72" workbookViewId="0">
      <selection activeCell="P32" sqref="P32"/>
    </sheetView>
  </sheetViews>
  <sheetFormatPr defaultColWidth="10.35546875" defaultRowHeight="14.15" x14ac:dyDescent="0.35"/>
  <cols>
    <col min="2" max="3" width="11" style="1" bestFit="1" customWidth="1"/>
    <col min="7" max="7" width="11.0703125" style="1" bestFit="1" customWidth="1"/>
    <col min="8" max="8" width="10.35546875" style="1"/>
  </cols>
  <sheetData>
    <row r="1" spans="1:31" x14ac:dyDescent="0.35">
      <c r="A1">
        <v>0.82499999999999996</v>
      </c>
      <c r="B1" s="1">
        <v>10036</v>
      </c>
      <c r="C1" s="1">
        <v>142054</v>
      </c>
      <c r="D1">
        <v>0.82499999999999996</v>
      </c>
      <c r="E1" s="4">
        <v>662453</v>
      </c>
      <c r="F1">
        <v>0.82499999999999996</v>
      </c>
      <c r="G1" s="4">
        <v>1861117</v>
      </c>
      <c r="H1" s="4">
        <v>2760652</v>
      </c>
      <c r="J1" s="5">
        <v>6.2E-2</v>
      </c>
      <c r="K1" s="5">
        <v>0.26900000000000002</v>
      </c>
      <c r="L1" s="5">
        <v>0.193</v>
      </c>
      <c r="M1" s="5">
        <v>0.255</v>
      </c>
      <c r="N1" s="5">
        <v>0.16900000000000001</v>
      </c>
      <c r="P1">
        <f>B1*(1+J1/2.83)</f>
        <v>10255.869964664309</v>
      </c>
      <c r="Q1">
        <f>B1*(1-J1/2.83)</f>
        <v>9816.1300353356892</v>
      </c>
      <c r="R1">
        <f>C1*(1+K1/2.83)</f>
        <v>155556.65936395759</v>
      </c>
      <c r="S1">
        <f>C1*(1-K1/2.83)</f>
        <v>128551.3406360424</v>
      </c>
      <c r="T1">
        <f>E1*(1+L1/2.83)</f>
        <v>707630.89010600711</v>
      </c>
      <c r="U1">
        <f>E1*(1-L1/2.83)</f>
        <v>617275.10989399289</v>
      </c>
      <c r="V1">
        <f>G1*(1+M1/2.83)</f>
        <v>2028814.8215547702</v>
      </c>
      <c r="W1">
        <f>G1*(1-M1/2.83)</f>
        <v>1693419.1784452298</v>
      </c>
      <c r="X1">
        <f>H1*(1+N1/2.83)</f>
        <v>2925510.7236749115</v>
      </c>
      <c r="Y1">
        <f>H1*(1-N1/2.83)</f>
        <v>2595793.2763250885</v>
      </c>
      <c r="AA1">
        <f>J1*B1</f>
        <v>622.23199999999997</v>
      </c>
      <c r="AB1">
        <f>K1*C1</f>
        <v>38212.526000000005</v>
      </c>
      <c r="AC1">
        <f>L1*E1</f>
        <v>127853.429</v>
      </c>
      <c r="AD1">
        <f>M1*G1</f>
        <v>474584.83500000002</v>
      </c>
      <c r="AE1">
        <f>N1*H1</f>
        <v>466550.18800000002</v>
      </c>
    </row>
    <row r="2" spans="1:31" x14ac:dyDescent="0.35">
      <c r="A2">
        <v>0.83</v>
      </c>
      <c r="B2" s="1">
        <v>14069</v>
      </c>
      <c r="C2" s="1">
        <v>208149</v>
      </c>
      <c r="D2">
        <v>0.83</v>
      </c>
      <c r="E2" s="1">
        <v>865225</v>
      </c>
      <c r="F2">
        <v>0.83</v>
      </c>
      <c r="G2" s="4">
        <v>2239445</v>
      </c>
      <c r="H2" s="4">
        <v>3913445</v>
      </c>
      <c r="J2" s="5">
        <v>6.6000000000000003E-2</v>
      </c>
      <c r="K2" s="5">
        <v>0.255</v>
      </c>
      <c r="L2" s="5">
        <v>0.38400000000000001</v>
      </c>
      <c r="M2" s="5">
        <v>0.29099999999999998</v>
      </c>
      <c r="N2" s="5">
        <v>0.27500000000000002</v>
      </c>
      <c r="P2">
        <f t="shared" ref="P2:P13" si="0">B2*(1+J2/2.83)</f>
        <v>14397.110954063604</v>
      </c>
      <c r="Q2">
        <f t="shared" ref="Q2:Q13" si="1">B2*(1-J2/2.83)</f>
        <v>13740.889045936396</v>
      </c>
      <c r="R2">
        <f t="shared" ref="R2:R13" si="2">C2*(1+K2/2.83)</f>
        <v>226904.47526501765</v>
      </c>
      <c r="S2">
        <f t="shared" ref="S2:S13" si="3">C2*(1-K2/2.83)</f>
        <v>189393.52473498235</v>
      </c>
      <c r="T2">
        <f t="shared" ref="T2:T13" si="4">E2*(1+L2/2.83)</f>
        <v>982626.55477031798</v>
      </c>
      <c r="U2">
        <f t="shared" ref="U2:U13" si="5">E2*(1-L2/2.83)</f>
        <v>747823.44522968202</v>
      </c>
      <c r="V2">
        <f t="shared" ref="V2:V13" si="6">G2*(1+M2/2.83)</f>
        <v>2469720.086572438</v>
      </c>
      <c r="W2">
        <f t="shared" ref="W2:W13" si="7">G2*(1-M2/2.83)</f>
        <v>2009169.913427562</v>
      </c>
      <c r="X2">
        <f t="shared" ref="X2:X13" si="8">H2*(1+N2/2.83)</f>
        <v>4293726.7579505304</v>
      </c>
      <c r="Y2">
        <f t="shared" ref="Y2:Y13" si="9">H2*(1-N2/2.83)</f>
        <v>3533163.2420494701</v>
      </c>
      <c r="AA2">
        <f t="shared" ref="AA2:AA13" si="10">J2*B2</f>
        <v>928.55400000000009</v>
      </c>
      <c r="AB2">
        <f t="shared" ref="AB2:AB13" si="11">K2*C2</f>
        <v>53077.995000000003</v>
      </c>
      <c r="AC2">
        <f t="shared" ref="AC2:AC13" si="12">L2*E2</f>
        <v>332246.40000000002</v>
      </c>
      <c r="AD2">
        <f t="shared" ref="AD2:AD13" si="13">M2*G2</f>
        <v>651678.495</v>
      </c>
      <c r="AE2">
        <f t="shared" ref="AE2:AE13" si="14">N2*H2</f>
        <v>1076197.375</v>
      </c>
    </row>
    <row r="3" spans="1:31" x14ac:dyDescent="0.35">
      <c r="A3">
        <v>0.83499999999999996</v>
      </c>
      <c r="B3" s="1">
        <v>23907</v>
      </c>
      <c r="C3" s="1">
        <v>499346</v>
      </c>
      <c r="D3">
        <v>0.83499999999999996</v>
      </c>
      <c r="E3" s="1">
        <v>1217053</v>
      </c>
      <c r="F3">
        <v>0.83499999999999996</v>
      </c>
      <c r="G3" s="4">
        <v>3397133</v>
      </c>
      <c r="H3" s="4">
        <v>4082120</v>
      </c>
      <c r="J3" s="5">
        <v>7.6999999999999999E-2</v>
      </c>
      <c r="K3" s="5">
        <v>0.38200000000000001</v>
      </c>
      <c r="L3" s="5">
        <v>0.34599999999999997</v>
      </c>
      <c r="M3" s="5">
        <v>0.35299999999999998</v>
      </c>
      <c r="N3" s="5">
        <v>0.14899999999999999</v>
      </c>
      <c r="P3">
        <f t="shared" si="0"/>
        <v>24557.473144876323</v>
      </c>
      <c r="Q3">
        <f t="shared" si="1"/>
        <v>23256.526855123673</v>
      </c>
      <c r="R3">
        <f t="shared" si="2"/>
        <v>566748.88763250888</v>
      </c>
      <c r="S3">
        <f t="shared" si="3"/>
        <v>431943.11236749118</v>
      </c>
      <c r="T3">
        <f t="shared" si="4"/>
        <v>1365851.7060070671</v>
      </c>
      <c r="U3">
        <f t="shared" si="5"/>
        <v>1068254.2939929329</v>
      </c>
      <c r="V3">
        <f t="shared" si="6"/>
        <v>3820874.3247349826</v>
      </c>
      <c r="W3">
        <f t="shared" si="7"/>
        <v>2973391.6752650174</v>
      </c>
      <c r="X3">
        <f t="shared" si="8"/>
        <v>4297044.3392226147</v>
      </c>
      <c r="Y3">
        <f t="shared" si="9"/>
        <v>3867195.6607773853</v>
      </c>
      <c r="AA3">
        <f t="shared" si="10"/>
        <v>1840.8389999999999</v>
      </c>
      <c r="AB3">
        <f t="shared" si="11"/>
        <v>190750.17199999999</v>
      </c>
      <c r="AC3">
        <f t="shared" si="12"/>
        <v>421100.33799999999</v>
      </c>
      <c r="AD3">
        <f t="shared" si="13"/>
        <v>1199187.949</v>
      </c>
      <c r="AE3">
        <f t="shared" si="14"/>
        <v>608235.88</v>
      </c>
    </row>
    <row r="4" spans="1:31" x14ac:dyDescent="0.35">
      <c r="A4">
        <v>0.84</v>
      </c>
      <c r="B4" s="1">
        <v>127244</v>
      </c>
      <c r="C4" s="1">
        <v>1813976</v>
      </c>
      <c r="D4">
        <v>0.84</v>
      </c>
      <c r="E4" s="1">
        <v>3336557</v>
      </c>
      <c r="F4">
        <v>0.84</v>
      </c>
      <c r="G4" s="1">
        <v>5496857</v>
      </c>
      <c r="H4" s="4">
        <v>5772437</v>
      </c>
      <c r="J4" s="5">
        <v>0.16</v>
      </c>
      <c r="K4" s="5">
        <v>0.218</v>
      </c>
      <c r="L4" s="5">
        <v>0.23899999999999999</v>
      </c>
      <c r="M4" s="5">
        <v>0.29799999999999999</v>
      </c>
      <c r="N4" s="5">
        <v>0.21299999999999999</v>
      </c>
      <c r="P4">
        <f t="shared" si="0"/>
        <v>134438.00706713781</v>
      </c>
      <c r="Q4">
        <f t="shared" si="1"/>
        <v>120049.99293286219</v>
      </c>
      <c r="R4">
        <f t="shared" si="2"/>
        <v>1953709.8402826854</v>
      </c>
      <c r="S4">
        <f t="shared" si="3"/>
        <v>1674242.1597173144</v>
      </c>
      <c r="T4">
        <f t="shared" si="4"/>
        <v>3618336.9021201418</v>
      </c>
      <c r="U4">
        <f t="shared" si="5"/>
        <v>3054777.0978798587</v>
      </c>
      <c r="V4">
        <f t="shared" si="6"/>
        <v>6075677.984452296</v>
      </c>
      <c r="W4">
        <f t="shared" si="7"/>
        <v>4918036.015547703</v>
      </c>
      <c r="X4">
        <f t="shared" si="8"/>
        <v>6206899.5727915186</v>
      </c>
      <c r="Y4">
        <f t="shared" si="9"/>
        <v>5337974.4272084804</v>
      </c>
      <c r="AA4">
        <f t="shared" si="10"/>
        <v>20359.04</v>
      </c>
      <c r="AB4">
        <f t="shared" si="11"/>
        <v>395446.76799999998</v>
      </c>
      <c r="AC4">
        <f t="shared" si="12"/>
        <v>797437.12300000002</v>
      </c>
      <c r="AD4">
        <f t="shared" si="13"/>
        <v>1638063.3859999999</v>
      </c>
      <c r="AE4">
        <f t="shared" si="14"/>
        <v>1229529.081</v>
      </c>
    </row>
    <row r="5" spans="1:31" x14ac:dyDescent="0.35">
      <c r="A5">
        <v>0.84099999999999997</v>
      </c>
      <c r="B5" s="1">
        <v>815992</v>
      </c>
      <c r="C5" s="1">
        <v>2865475</v>
      </c>
      <c r="D5">
        <v>0.84499999999999997</v>
      </c>
      <c r="E5" s="1">
        <v>10170375</v>
      </c>
      <c r="F5">
        <v>0.84499999999999997</v>
      </c>
      <c r="G5" s="1">
        <v>8519321</v>
      </c>
      <c r="H5" s="1">
        <v>8693347</v>
      </c>
      <c r="J5" s="5">
        <v>0.36</v>
      </c>
      <c r="K5" s="5">
        <v>0.21199999999999999</v>
      </c>
      <c r="L5" s="5">
        <v>0.27300000000000002</v>
      </c>
      <c r="M5" s="5">
        <v>0.25700000000000001</v>
      </c>
      <c r="N5" s="5">
        <v>0.28239999999999998</v>
      </c>
      <c r="P5">
        <f t="shared" si="0"/>
        <v>919793.10247349821</v>
      </c>
      <c r="Q5">
        <f t="shared" si="1"/>
        <v>712190.89752650179</v>
      </c>
      <c r="R5">
        <f t="shared" si="2"/>
        <v>3080132.491166078</v>
      </c>
      <c r="S5">
        <f t="shared" si="3"/>
        <v>2650817.508833922</v>
      </c>
      <c r="T5">
        <f t="shared" si="4"/>
        <v>11151474.779151944</v>
      </c>
      <c r="U5">
        <f t="shared" si="5"/>
        <v>9189275.2208480556</v>
      </c>
      <c r="V5">
        <f t="shared" si="6"/>
        <v>9292983.7197879851</v>
      </c>
      <c r="W5">
        <f t="shared" si="7"/>
        <v>7745658.280212014</v>
      </c>
      <c r="X5">
        <f t="shared" si="8"/>
        <v>9560838.5875618383</v>
      </c>
      <c r="Y5">
        <f t="shared" si="9"/>
        <v>7825855.4124381626</v>
      </c>
      <c r="AA5">
        <f t="shared" si="10"/>
        <v>293757.12</v>
      </c>
      <c r="AB5">
        <f t="shared" si="11"/>
        <v>607480.69999999995</v>
      </c>
      <c r="AC5">
        <f t="shared" si="12"/>
        <v>2776512.375</v>
      </c>
      <c r="AD5">
        <f t="shared" si="13"/>
        <v>2189465.497</v>
      </c>
      <c r="AE5">
        <f t="shared" si="14"/>
        <v>2455001.1927999998</v>
      </c>
    </row>
    <row r="6" spans="1:31" x14ac:dyDescent="0.35">
      <c r="A6">
        <v>0.84199999999999997</v>
      </c>
      <c r="B6" s="1">
        <v>6160910</v>
      </c>
      <c r="C6" s="1">
        <v>4847478</v>
      </c>
      <c r="D6">
        <v>0.84599999999999997</v>
      </c>
      <c r="E6" s="1">
        <v>14203354</v>
      </c>
      <c r="F6">
        <v>0.85</v>
      </c>
      <c r="G6" s="1">
        <v>22017720</v>
      </c>
      <c r="H6" s="1">
        <v>17827161</v>
      </c>
      <c r="J6" s="5">
        <v>0.26600000000000001</v>
      </c>
      <c r="K6" s="5">
        <v>0.16200000000000001</v>
      </c>
      <c r="L6" s="5">
        <v>0.32100000000000001</v>
      </c>
      <c r="M6" s="5">
        <v>0.251</v>
      </c>
      <c r="N6" s="5">
        <v>0.25900000000000001</v>
      </c>
      <c r="P6">
        <f t="shared" si="0"/>
        <v>6739992.0000000009</v>
      </c>
      <c r="Q6">
        <f t="shared" si="1"/>
        <v>5581828</v>
      </c>
      <c r="R6">
        <f t="shared" si="2"/>
        <v>5124966.1399293281</v>
      </c>
      <c r="S6">
        <f t="shared" si="3"/>
        <v>4569989.860070671</v>
      </c>
      <c r="T6">
        <f t="shared" si="4"/>
        <v>15814405.814134276</v>
      </c>
      <c r="U6">
        <f t="shared" si="5"/>
        <v>12592302.185865724</v>
      </c>
      <c r="V6">
        <f t="shared" si="6"/>
        <v>23970528.381625444</v>
      </c>
      <c r="W6">
        <f t="shared" si="7"/>
        <v>20064911.618374556</v>
      </c>
      <c r="X6">
        <f t="shared" si="8"/>
        <v>19458692.695759721</v>
      </c>
      <c r="Y6">
        <f t="shared" si="9"/>
        <v>16195629.304240283</v>
      </c>
      <c r="AA6">
        <f t="shared" si="10"/>
        <v>1638802.06</v>
      </c>
      <c r="AB6">
        <f t="shared" si="11"/>
        <v>785291.43599999999</v>
      </c>
      <c r="AC6">
        <f t="shared" si="12"/>
        <v>4559276.6340000005</v>
      </c>
      <c r="AD6">
        <f t="shared" si="13"/>
        <v>5526447.7199999997</v>
      </c>
      <c r="AE6">
        <f t="shared" si="14"/>
        <v>4617234.699</v>
      </c>
    </row>
    <row r="7" spans="1:31" x14ac:dyDescent="0.35">
      <c r="A7">
        <v>0.84299999999999997</v>
      </c>
      <c r="B7" s="1">
        <v>12226189</v>
      </c>
      <c r="C7" s="1">
        <v>6720669</v>
      </c>
      <c r="D7">
        <v>0.84699999999999998</v>
      </c>
      <c r="E7" s="1">
        <v>17747062</v>
      </c>
      <c r="F7">
        <v>0.85099999999999998</v>
      </c>
      <c r="G7" s="1">
        <v>45273408</v>
      </c>
      <c r="H7" s="1">
        <v>26190622</v>
      </c>
      <c r="J7" s="5">
        <v>0.14799999999999999</v>
      </c>
      <c r="K7" s="5">
        <v>0.28199999999999997</v>
      </c>
      <c r="L7" s="5">
        <v>0.19600000000000001</v>
      </c>
      <c r="M7" s="5">
        <v>0.13300000000000001</v>
      </c>
      <c r="N7" s="5">
        <v>0.33600000000000002</v>
      </c>
      <c r="P7">
        <f t="shared" si="0"/>
        <v>12865579.802826855</v>
      </c>
      <c r="Q7">
        <f t="shared" si="1"/>
        <v>11586798.197173145</v>
      </c>
      <c r="R7">
        <f t="shared" si="2"/>
        <v>7390361.1053003529</v>
      </c>
      <c r="S7">
        <f t="shared" si="3"/>
        <v>6050976.8946996471</v>
      </c>
      <c r="T7">
        <f t="shared" si="4"/>
        <v>18976187.142049469</v>
      </c>
      <c r="U7">
        <f t="shared" si="5"/>
        <v>16517936.857950529</v>
      </c>
      <c r="V7">
        <f t="shared" si="6"/>
        <v>47401098.199293286</v>
      </c>
      <c r="W7">
        <f t="shared" si="7"/>
        <v>43145717.800706714</v>
      </c>
      <c r="X7">
        <f t="shared" si="8"/>
        <v>29300179.947703183</v>
      </c>
      <c r="Y7">
        <f t="shared" si="9"/>
        <v>23081064.052296817</v>
      </c>
      <c r="AA7">
        <f t="shared" si="10"/>
        <v>1809475.9719999998</v>
      </c>
      <c r="AB7">
        <f t="shared" si="11"/>
        <v>1895228.6579999998</v>
      </c>
      <c r="AC7">
        <f t="shared" si="12"/>
        <v>3478424.1520000002</v>
      </c>
      <c r="AD7">
        <f t="shared" si="13"/>
        <v>6021363.2640000004</v>
      </c>
      <c r="AE7">
        <f t="shared" si="14"/>
        <v>8800048.9920000006</v>
      </c>
    </row>
    <row r="8" spans="1:31" x14ac:dyDescent="0.35">
      <c r="A8">
        <v>0.84399999999999997</v>
      </c>
      <c r="B8" s="1">
        <v>58290420</v>
      </c>
      <c r="C8" s="1">
        <v>9571672</v>
      </c>
      <c r="D8">
        <v>0.84799999999999998</v>
      </c>
      <c r="E8" s="1">
        <v>49096942</v>
      </c>
      <c r="F8">
        <v>0.85199999999999998</v>
      </c>
      <c r="G8" s="4">
        <v>77576967</v>
      </c>
      <c r="H8" s="4">
        <v>40706781</v>
      </c>
      <c r="J8" s="5">
        <v>0.13400000000000001</v>
      </c>
      <c r="K8" s="5">
        <v>0.161</v>
      </c>
      <c r="L8" s="5">
        <v>0.23499999999999999</v>
      </c>
      <c r="M8" s="5">
        <v>5.2999999999999999E-2</v>
      </c>
      <c r="N8" s="5">
        <v>0.31900000000000001</v>
      </c>
      <c r="P8">
        <f t="shared" si="0"/>
        <v>61050461.088339224</v>
      </c>
      <c r="Q8">
        <f t="shared" si="1"/>
        <v>55530378.911660776</v>
      </c>
      <c r="R8">
        <f t="shared" si="2"/>
        <v>10116208.816961132</v>
      </c>
      <c r="S8">
        <f t="shared" si="3"/>
        <v>9027135.183038868</v>
      </c>
      <c r="T8">
        <f t="shared" si="4"/>
        <v>53173896.547703177</v>
      </c>
      <c r="U8">
        <f t="shared" si="5"/>
        <v>45019987.452296816</v>
      </c>
      <c r="V8">
        <f t="shared" si="6"/>
        <v>79029821.859010592</v>
      </c>
      <c r="W8">
        <f t="shared" si="7"/>
        <v>76124112.140989408</v>
      </c>
      <c r="X8">
        <f t="shared" si="8"/>
        <v>45295283.875971735</v>
      </c>
      <c r="Y8">
        <f t="shared" si="9"/>
        <v>36118278.124028265</v>
      </c>
      <c r="AA8">
        <f t="shared" si="10"/>
        <v>7810916.2800000003</v>
      </c>
      <c r="AB8">
        <f t="shared" si="11"/>
        <v>1541039.192</v>
      </c>
      <c r="AC8">
        <f t="shared" si="12"/>
        <v>11537781.369999999</v>
      </c>
      <c r="AD8">
        <f t="shared" si="13"/>
        <v>4111579.2509999997</v>
      </c>
      <c r="AE8">
        <f t="shared" si="14"/>
        <v>12985463.139</v>
      </c>
    </row>
    <row r="9" spans="1:31" x14ac:dyDescent="0.35">
      <c r="A9">
        <v>0.84499999999999997</v>
      </c>
      <c r="B9" s="1">
        <v>82249720</v>
      </c>
      <c r="C9" s="2">
        <v>49551151</v>
      </c>
      <c r="D9">
        <v>0.84899999999999998</v>
      </c>
      <c r="E9" s="1">
        <v>84289884</v>
      </c>
      <c r="F9">
        <v>0.85299999999999998</v>
      </c>
      <c r="G9" s="4">
        <v>118165565</v>
      </c>
      <c r="H9" s="4">
        <v>55177895</v>
      </c>
      <c r="J9" s="5">
        <v>0.20200000000000001</v>
      </c>
      <c r="K9" s="5">
        <v>0.21099999999999999</v>
      </c>
      <c r="L9" s="5">
        <v>0.17</v>
      </c>
      <c r="M9" s="5">
        <v>0.33400000000000002</v>
      </c>
      <c r="N9" s="5">
        <v>0.32200000000000001</v>
      </c>
      <c r="P9">
        <f t="shared" si="0"/>
        <v>88120548.07067138</v>
      </c>
      <c r="Q9">
        <f t="shared" si="1"/>
        <v>76378891.92932862</v>
      </c>
      <c r="R9">
        <f t="shared" si="2"/>
        <v>53245600.774204947</v>
      </c>
      <c r="S9">
        <f t="shared" si="3"/>
        <v>45856701.225795053</v>
      </c>
      <c r="T9">
        <f t="shared" si="4"/>
        <v>89353233.922261477</v>
      </c>
      <c r="U9">
        <f t="shared" si="5"/>
        <v>79226534.077738523</v>
      </c>
      <c r="V9">
        <f t="shared" si="6"/>
        <v>132111606.94699648</v>
      </c>
      <c r="W9">
        <f t="shared" si="7"/>
        <v>104219523.05300353</v>
      </c>
      <c r="X9">
        <f t="shared" si="8"/>
        <v>61456086.586572446</v>
      </c>
      <c r="Y9">
        <f t="shared" si="9"/>
        <v>48899703.413427562</v>
      </c>
      <c r="AA9">
        <f t="shared" si="10"/>
        <v>16614443.440000001</v>
      </c>
      <c r="AB9">
        <f t="shared" si="11"/>
        <v>10455292.861</v>
      </c>
      <c r="AC9">
        <f t="shared" si="12"/>
        <v>14329280.280000001</v>
      </c>
      <c r="AD9">
        <f t="shared" si="13"/>
        <v>39467298.710000001</v>
      </c>
      <c r="AE9">
        <f t="shared" si="14"/>
        <v>17767282.190000001</v>
      </c>
    </row>
    <row r="10" spans="1:31" x14ac:dyDescent="0.35">
      <c r="A10">
        <v>0.85</v>
      </c>
      <c r="B10" s="1">
        <v>171353583</v>
      </c>
      <c r="C10" s="1">
        <v>148708653</v>
      </c>
      <c r="D10">
        <v>0.85</v>
      </c>
      <c r="E10" s="1">
        <v>124930060</v>
      </c>
      <c r="F10">
        <v>0.85399999999999998</v>
      </c>
      <c r="G10" s="4">
        <v>142668600</v>
      </c>
      <c r="H10" s="1">
        <v>87504002</v>
      </c>
      <c r="J10" s="5">
        <v>0.155</v>
      </c>
      <c r="K10" s="5">
        <v>0.20200000000000001</v>
      </c>
      <c r="L10" s="5">
        <v>0.115</v>
      </c>
      <c r="M10" s="5">
        <v>0.245</v>
      </c>
      <c r="N10" s="5">
        <v>0.34899999999999998</v>
      </c>
      <c r="P10">
        <f t="shared" si="0"/>
        <v>180738673.23498231</v>
      </c>
      <c r="Q10">
        <f t="shared" si="1"/>
        <v>161968492.76501769</v>
      </c>
      <c r="R10">
        <f t="shared" si="2"/>
        <v>159323192.89611307</v>
      </c>
      <c r="S10">
        <f t="shared" si="3"/>
        <v>138094113.10388693</v>
      </c>
      <c r="T10">
        <f t="shared" si="4"/>
        <v>130006723.21554771</v>
      </c>
      <c r="U10">
        <f t="shared" si="5"/>
        <v>119853396.7844523</v>
      </c>
      <c r="V10">
        <f t="shared" si="6"/>
        <v>155019768.55123675</v>
      </c>
      <c r="W10">
        <f t="shared" si="7"/>
        <v>130317431.44876325</v>
      </c>
      <c r="X10">
        <f t="shared" si="8"/>
        <v>98295131.575265005</v>
      </c>
      <c r="Y10">
        <f t="shared" si="9"/>
        <v>76712872.42473498</v>
      </c>
      <c r="AA10">
        <f t="shared" si="10"/>
        <v>26559805.364999998</v>
      </c>
      <c r="AB10">
        <f t="shared" si="11"/>
        <v>30039147.906000003</v>
      </c>
      <c r="AC10">
        <f t="shared" si="12"/>
        <v>14366956.9</v>
      </c>
      <c r="AD10">
        <f t="shared" si="13"/>
        <v>34953807</v>
      </c>
      <c r="AE10">
        <f t="shared" si="14"/>
        <v>30538896.697999999</v>
      </c>
    </row>
    <row r="11" spans="1:31" x14ac:dyDescent="0.35">
      <c r="A11">
        <v>0.85499999999999998</v>
      </c>
      <c r="B11" s="6">
        <v>447286413</v>
      </c>
      <c r="C11" s="6">
        <v>341415298</v>
      </c>
      <c r="D11">
        <v>0.85499999999999998</v>
      </c>
      <c r="E11" s="3">
        <v>237198827</v>
      </c>
      <c r="F11">
        <v>0.85499999999999998</v>
      </c>
      <c r="G11" s="1">
        <v>198480676</v>
      </c>
      <c r="H11" s="1">
        <v>117028158</v>
      </c>
      <c r="J11" s="5">
        <v>0.126</v>
      </c>
      <c r="K11" s="5">
        <v>0.28399999999999997</v>
      </c>
      <c r="L11" s="5">
        <v>0.217</v>
      </c>
      <c r="M11" s="5">
        <v>0.125</v>
      </c>
      <c r="N11" s="5">
        <v>0.35499999999999998</v>
      </c>
      <c r="P11">
        <f t="shared" si="0"/>
        <v>467200931.74134272</v>
      </c>
      <c r="Q11">
        <f t="shared" si="1"/>
        <v>427371894.25865728</v>
      </c>
      <c r="R11">
        <f t="shared" si="2"/>
        <v>375677469.24805653</v>
      </c>
      <c r="S11">
        <f t="shared" si="3"/>
        <v>307153126.75194347</v>
      </c>
      <c r="T11">
        <f t="shared" si="4"/>
        <v>255386864.26466432</v>
      </c>
      <c r="U11">
        <f t="shared" si="5"/>
        <v>219010789.73533568</v>
      </c>
      <c r="V11">
        <f t="shared" si="6"/>
        <v>207247490.31095409</v>
      </c>
      <c r="W11">
        <f t="shared" si="7"/>
        <v>189713861.68904594</v>
      </c>
      <c r="X11">
        <f t="shared" si="8"/>
        <v>131708368.63250883</v>
      </c>
      <c r="Y11">
        <f t="shared" si="9"/>
        <v>102347947.36749117</v>
      </c>
      <c r="AA11">
        <f t="shared" si="10"/>
        <v>56358088.038000003</v>
      </c>
      <c r="AB11">
        <f t="shared" si="11"/>
        <v>96961944.631999984</v>
      </c>
      <c r="AC11">
        <f t="shared" si="12"/>
        <v>51472145.458999999</v>
      </c>
      <c r="AD11">
        <f t="shared" si="13"/>
        <v>24810084.5</v>
      </c>
      <c r="AE11">
        <f t="shared" si="14"/>
        <v>41544996.089999996</v>
      </c>
    </row>
    <row r="12" spans="1:31" x14ac:dyDescent="0.35">
      <c r="A12">
        <v>0.86</v>
      </c>
      <c r="B12" s="4">
        <v>611183778</v>
      </c>
      <c r="C12" s="4">
        <v>483330075</v>
      </c>
      <c r="D12">
        <v>0.86</v>
      </c>
      <c r="E12" s="3">
        <v>323363605</v>
      </c>
      <c r="F12">
        <v>0.86</v>
      </c>
      <c r="G12" s="1">
        <v>291394020</v>
      </c>
      <c r="H12" s="1">
        <v>210105306</v>
      </c>
      <c r="J12" s="5">
        <v>0.105</v>
      </c>
      <c r="K12" s="5">
        <v>0.152</v>
      </c>
      <c r="L12" s="5">
        <v>0.17899999999999999</v>
      </c>
      <c r="M12" s="5">
        <v>0.182</v>
      </c>
      <c r="N12" s="5">
        <v>0.23300000000000001</v>
      </c>
      <c r="P12">
        <f t="shared" si="0"/>
        <v>633860207.92579508</v>
      </c>
      <c r="Q12">
        <f t="shared" si="1"/>
        <v>588507348.07420492</v>
      </c>
      <c r="R12">
        <f t="shared" si="2"/>
        <v>509289852.87985861</v>
      </c>
      <c r="S12">
        <f t="shared" si="3"/>
        <v>457370297.12014133</v>
      </c>
      <c r="T12">
        <f t="shared" si="4"/>
        <v>343816638.67314488</v>
      </c>
      <c r="U12">
        <f t="shared" si="5"/>
        <v>302910571.32685512</v>
      </c>
      <c r="V12">
        <f t="shared" si="6"/>
        <v>310133847.43462896</v>
      </c>
      <c r="W12">
        <f t="shared" si="7"/>
        <v>272654192.56537104</v>
      </c>
      <c r="X12">
        <f t="shared" si="8"/>
        <v>227403728.72014132</v>
      </c>
      <c r="Y12">
        <f t="shared" si="9"/>
        <v>192806883.27985868</v>
      </c>
      <c r="AA12">
        <f t="shared" si="10"/>
        <v>64174296.689999998</v>
      </c>
      <c r="AB12">
        <f t="shared" si="11"/>
        <v>73466171.399999991</v>
      </c>
      <c r="AC12">
        <f t="shared" si="12"/>
        <v>57882085.294999994</v>
      </c>
      <c r="AD12">
        <f t="shared" si="13"/>
        <v>53033711.640000001</v>
      </c>
      <c r="AE12">
        <f t="shared" si="14"/>
        <v>48954536.298</v>
      </c>
    </row>
    <row r="13" spans="1:31" x14ac:dyDescent="0.35">
      <c r="A13">
        <v>0.86499999999999999</v>
      </c>
      <c r="B13" s="4">
        <v>719849538</v>
      </c>
      <c r="C13" s="4">
        <v>664440213</v>
      </c>
      <c r="D13">
        <v>0.86499999999999999</v>
      </c>
      <c r="E13" s="1">
        <v>467117355</v>
      </c>
      <c r="F13">
        <v>0.86499999999999999</v>
      </c>
      <c r="G13" s="1">
        <v>391386640</v>
      </c>
      <c r="H13" s="1">
        <v>310652491</v>
      </c>
      <c r="J13" s="5">
        <v>7.0999999999999994E-2</v>
      </c>
      <c r="K13" s="5">
        <v>9.7000000000000003E-2</v>
      </c>
      <c r="L13" s="5">
        <v>0.21</v>
      </c>
      <c r="M13" s="5">
        <v>0.153</v>
      </c>
      <c r="N13" s="5">
        <v>0.14000000000000001</v>
      </c>
      <c r="P13">
        <f t="shared" si="0"/>
        <v>737909367.39858663</v>
      </c>
      <c r="Q13">
        <f t="shared" si="1"/>
        <v>701789708.60141337</v>
      </c>
      <c r="R13">
        <f t="shared" si="2"/>
        <v>687214312.17349827</v>
      </c>
      <c r="S13">
        <f t="shared" si="3"/>
        <v>641666113.82650173</v>
      </c>
      <c r="T13">
        <f t="shared" si="4"/>
        <v>501779773.56890464</v>
      </c>
      <c r="U13">
        <f t="shared" si="5"/>
        <v>432454936.43109542</v>
      </c>
      <c r="V13">
        <f t="shared" si="6"/>
        <v>412546412.40989399</v>
      </c>
      <c r="W13">
        <f t="shared" si="7"/>
        <v>370226867.59010601</v>
      </c>
      <c r="X13">
        <f t="shared" si="8"/>
        <v>326020458.75265014</v>
      </c>
      <c r="Y13">
        <f t="shared" si="9"/>
        <v>295284523.2473498</v>
      </c>
      <c r="AA13">
        <f t="shared" si="10"/>
        <v>51109317.197999999</v>
      </c>
      <c r="AB13">
        <f t="shared" si="11"/>
        <v>64450700.660999998</v>
      </c>
      <c r="AC13">
        <f t="shared" si="12"/>
        <v>98094644.549999997</v>
      </c>
      <c r="AD13">
        <f t="shared" si="13"/>
        <v>59882155.920000002</v>
      </c>
      <c r="AE13">
        <f t="shared" si="14"/>
        <v>43491348.740000002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2024-08-29T08:38:54Z</dcterms:modified>
</cp:coreProperties>
</file>