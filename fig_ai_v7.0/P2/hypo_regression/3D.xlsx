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P2\hypo_regression\"/>
    </mc:Choice>
  </mc:AlternateContent>
  <xr:revisionPtr revIDLastSave="0" documentId="13_ncr:1_{62FC8603-9CBE-4CA1-8844-C6D8AF2074D1}" xr6:coauthVersionLast="47" xr6:coauthVersionMax="47" xr10:uidLastSave="{00000000-0000-0000-0000-000000000000}"/>
  <bookViews>
    <workbookView xWindow="2983" yWindow="694" windowWidth="11143" windowHeight="14015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J2" i="4"/>
  <c r="L1" i="4"/>
  <c r="L2" i="4"/>
  <c r="L3" i="4"/>
  <c r="L4" i="4"/>
  <c r="L5" i="4"/>
  <c r="L6" i="4"/>
  <c r="L7" i="4"/>
  <c r="K7" i="4"/>
  <c r="K2" i="4"/>
  <c r="K3" i="4"/>
  <c r="K4" i="4"/>
  <c r="K5" i="4"/>
  <c r="K6" i="4"/>
  <c r="K1" i="4"/>
  <c r="J3" i="4"/>
  <c r="J4" i="4"/>
  <c r="J5" i="4"/>
  <c r="J6" i="4"/>
  <c r="J1" i="4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5B22-6445-4534-A86D-FBDD6E0136B1}">
  <dimension ref="A1:L7"/>
  <sheetViews>
    <sheetView tabSelected="1" workbookViewId="0">
      <selection activeCell="E13" sqref="E13"/>
    </sheetView>
  </sheetViews>
  <sheetFormatPr defaultRowHeight="14.15" x14ac:dyDescent="0.35"/>
  <sheetData>
    <row r="1" spans="1:12" x14ac:dyDescent="0.35">
      <c r="A1" s="1">
        <v>9.9999999999999995E-7</v>
      </c>
      <c r="B1">
        <v>1E-3</v>
      </c>
      <c r="C1">
        <v>2.0000000000000001E-4</v>
      </c>
      <c r="G1">
        <v>0.64549999999999996</v>
      </c>
      <c r="H1">
        <v>1.1000000000000001E-3</v>
      </c>
      <c r="I1">
        <v>1.9E-3</v>
      </c>
      <c r="J1">
        <f>H1/2+I1/2</f>
        <v>1.5E-3</v>
      </c>
      <c r="K1">
        <f>LN(A1)</f>
        <v>-13.815510557964274</v>
      </c>
      <c r="L1">
        <f>LN(B1)</f>
        <v>-6.9077552789821368</v>
      </c>
    </row>
    <row r="2" spans="1:12" x14ac:dyDescent="0.35">
      <c r="A2" s="1">
        <v>1.0000000000000001E-5</v>
      </c>
      <c r="B2">
        <v>3.0000000000000001E-3</v>
      </c>
      <c r="C2">
        <v>5.9999999999999995E-4</v>
      </c>
      <c r="G2">
        <v>0.64729999999999999</v>
      </c>
      <c r="H2">
        <v>3.5999999999999999E-3</v>
      </c>
      <c r="I2">
        <v>6.0000000000000001E-3</v>
      </c>
      <c r="J2">
        <f>H2/2+I2/2</f>
        <v>4.8000000000000004E-3</v>
      </c>
      <c r="K2">
        <f t="shared" ref="K2:L6" si="0">LN(A2)</f>
        <v>-11.512925464970229</v>
      </c>
      <c r="L2">
        <f t="shared" si="0"/>
        <v>-5.8091429903140277</v>
      </c>
    </row>
    <row r="3" spans="1:12" x14ac:dyDescent="0.35">
      <c r="A3" s="1">
        <v>3.1600000000000002E-5</v>
      </c>
      <c r="B3">
        <v>6.0000000000000001E-3</v>
      </c>
      <c r="C3">
        <f t="shared" ref="C3:C6" si="1">J3-H3</f>
        <v>1.1999999999999997E-3</v>
      </c>
      <c r="G3">
        <v>0.65</v>
      </c>
      <c r="H3">
        <v>6.6E-3</v>
      </c>
      <c r="I3">
        <v>8.9999999999999993E-3</v>
      </c>
      <c r="J3">
        <f t="shared" ref="J3:J6" si="2">H3/2+I3/2</f>
        <v>7.7999999999999996E-3</v>
      </c>
      <c r="K3">
        <f t="shared" si="0"/>
        <v>-10.362353437371407</v>
      </c>
      <c r="L3">
        <f t="shared" si="0"/>
        <v>-5.1159958097540823</v>
      </c>
    </row>
    <row r="4" spans="1:12" x14ac:dyDescent="0.35">
      <c r="A4" s="1">
        <v>1E-4</v>
      </c>
      <c r="B4">
        <v>8.9999999999999993E-3</v>
      </c>
      <c r="C4">
        <f t="shared" si="1"/>
        <v>2.1999999999999988E-3</v>
      </c>
      <c r="G4">
        <v>0.65500000000000003</v>
      </c>
      <c r="H4">
        <v>1.3599999999999999E-2</v>
      </c>
      <c r="I4">
        <v>1.7999999999999999E-2</v>
      </c>
      <c r="J4">
        <f t="shared" si="2"/>
        <v>1.5799999999999998E-2</v>
      </c>
      <c r="K4">
        <f t="shared" si="0"/>
        <v>-9.2103403719761818</v>
      </c>
      <c r="L4">
        <f t="shared" si="0"/>
        <v>-4.7105307016459177</v>
      </c>
    </row>
    <row r="5" spans="1:12" x14ac:dyDescent="0.35">
      <c r="A5" s="1">
        <v>1.7780000000000001E-4</v>
      </c>
      <c r="B5">
        <v>1.2E-2</v>
      </c>
      <c r="C5">
        <f t="shared" si="1"/>
        <v>1.7000000000000001E-3</v>
      </c>
      <c r="G5">
        <v>0.65849999999999997</v>
      </c>
      <c r="H5">
        <v>1.66E-2</v>
      </c>
      <c r="I5">
        <v>0.02</v>
      </c>
      <c r="J5">
        <f t="shared" si="2"/>
        <v>1.83E-2</v>
      </c>
      <c r="K5">
        <f t="shared" si="0"/>
        <v>-8.6348512348844704</v>
      </c>
      <c r="L5">
        <f t="shared" si="0"/>
        <v>-4.4228486291941369</v>
      </c>
    </row>
    <row r="6" spans="1:12" x14ac:dyDescent="0.35">
      <c r="A6" s="1">
        <v>3.1599999999999998E-4</v>
      </c>
      <c r="B6">
        <v>1.4999999999999999E-2</v>
      </c>
      <c r="C6">
        <f t="shared" si="1"/>
        <v>2.700000000000001E-3</v>
      </c>
      <c r="G6">
        <v>0.66400000000000003</v>
      </c>
      <c r="H6">
        <v>2.06E-2</v>
      </c>
      <c r="I6">
        <v>2.5999999999999999E-2</v>
      </c>
      <c r="J6">
        <f t="shared" si="2"/>
        <v>2.3300000000000001E-2</v>
      </c>
      <c r="K6">
        <f t="shared" si="0"/>
        <v>-8.0597683443773622</v>
      </c>
      <c r="L6">
        <f t="shared" si="0"/>
        <v>-4.1997050778799272</v>
      </c>
    </row>
    <row r="7" spans="1:12" x14ac:dyDescent="0.35">
      <c r="A7" s="1">
        <v>5.62E-4</v>
      </c>
      <c r="B7">
        <v>2.1999999999999999E-2</v>
      </c>
      <c r="C7">
        <v>3.3999999999999998E-3</v>
      </c>
      <c r="G7">
        <v>0.67200000000000004</v>
      </c>
      <c r="K7">
        <f>LN(A7)</f>
        <v>-7.4840087080705828</v>
      </c>
      <c r="L7">
        <f>LN(B7)</f>
        <v>-3.8167128256238212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2024-10-22T15:40:10Z</dcterms:modified>
</cp:coreProperties>
</file>