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4.0\P3\3.1 experiment_fitting_1\"/>
    </mc:Choice>
  </mc:AlternateContent>
  <xr:revisionPtr revIDLastSave="0" documentId="13_ncr:1_{26E37551-B9A7-49A5-8D23-769A59B1F0CC}" xr6:coauthVersionLast="47" xr6:coauthVersionMax="47" xr10:uidLastSave="{00000000-0000-0000-0000-000000000000}"/>
  <bookViews>
    <workbookView xWindow="4586" yWindow="694" windowWidth="19671" windowHeight="140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M2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M1" i="1"/>
  <c r="L1" i="1"/>
  <c r="H2" i="1"/>
  <c r="I2" i="1"/>
  <c r="J2" i="1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I1" i="1"/>
  <c r="J1" i="1"/>
  <c r="H1" i="1"/>
  <c r="F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O7" sqref="O7"/>
    </sheetView>
  </sheetViews>
  <sheetFormatPr defaultRowHeight="14.15" x14ac:dyDescent="0.35"/>
  <sheetData>
    <row r="1" spans="1:13" x14ac:dyDescent="0.35">
      <c r="A1">
        <v>1</v>
      </c>
      <c r="B1">
        <v>3.5049999999999999</v>
      </c>
      <c r="C1">
        <v>4.3220000000000001</v>
      </c>
      <c r="D1">
        <v>2.694</v>
      </c>
      <c r="F1">
        <f>20/B1</f>
        <v>5.7061340941512126</v>
      </c>
      <c r="H1">
        <f>B1*$F$1</f>
        <v>20</v>
      </c>
      <c r="I1">
        <f t="shared" ref="I1:J1" si="0">C1*$F$1</f>
        <v>24.661911554921542</v>
      </c>
      <c r="J1">
        <f t="shared" si="0"/>
        <v>15.372325249643367</v>
      </c>
      <c r="L1">
        <f>I1-H1</f>
        <v>4.6619115549215415</v>
      </c>
      <c r="M1">
        <f>H1-J1</f>
        <v>4.6276747503566327</v>
      </c>
    </row>
    <row r="2" spans="1:13" x14ac:dyDescent="0.35">
      <c r="A2">
        <v>2</v>
      </c>
      <c r="B2">
        <v>4.7510000000000003</v>
      </c>
      <c r="C2">
        <v>5.7880000000000003</v>
      </c>
      <c r="D2">
        <v>3.7280000000000002</v>
      </c>
      <c r="H2">
        <f t="shared" ref="H2:H11" si="1">B2*$F$1</f>
        <v>27.109843081312412</v>
      </c>
      <c r="I2">
        <f t="shared" ref="I2:I11" si="2">C2*$F$1</f>
        <v>33.027104136947223</v>
      </c>
      <c r="J2">
        <f t="shared" ref="J2:J11" si="3">D2*$F$1</f>
        <v>21.272467902995722</v>
      </c>
      <c r="L2">
        <f t="shared" ref="L2:L11" si="4">I2-H2</f>
        <v>5.9172610556348104</v>
      </c>
      <c r="M2">
        <f t="shared" ref="M2:M11" si="5">H2-J2</f>
        <v>5.8373751783166909</v>
      </c>
    </row>
    <row r="3" spans="1:13" x14ac:dyDescent="0.35">
      <c r="A3">
        <v>4</v>
      </c>
      <c r="B3">
        <v>5.5090000000000003</v>
      </c>
      <c r="C3">
        <v>6.8220000000000001</v>
      </c>
      <c r="D3">
        <v>4.165</v>
      </c>
      <c r="H3">
        <f t="shared" si="1"/>
        <v>31.435092724679034</v>
      </c>
      <c r="I3">
        <f t="shared" si="2"/>
        <v>38.92724679029957</v>
      </c>
      <c r="J3">
        <f t="shared" si="3"/>
        <v>23.7660485021398</v>
      </c>
      <c r="L3">
        <f t="shared" si="4"/>
        <v>7.4921540656205359</v>
      </c>
      <c r="M3">
        <f t="shared" si="5"/>
        <v>7.6690442225392346</v>
      </c>
    </row>
    <row r="4" spans="1:13" x14ac:dyDescent="0.35">
      <c r="A4">
        <v>8</v>
      </c>
      <c r="B4">
        <v>7.782</v>
      </c>
      <c r="C4">
        <v>9.4019999999999992</v>
      </c>
      <c r="D4">
        <v>6.181</v>
      </c>
      <c r="H4">
        <f t="shared" si="1"/>
        <v>44.405135520684738</v>
      </c>
      <c r="I4">
        <f t="shared" si="2"/>
        <v>53.649072753209694</v>
      </c>
      <c r="J4">
        <f t="shared" si="3"/>
        <v>35.269614835948644</v>
      </c>
      <c r="L4">
        <f t="shared" si="4"/>
        <v>9.2439372325249565</v>
      </c>
      <c r="M4">
        <f t="shared" si="5"/>
        <v>9.1355206847360932</v>
      </c>
    </row>
    <row r="5" spans="1:13" x14ac:dyDescent="0.35">
      <c r="A5">
        <v>16</v>
      </c>
      <c r="B5">
        <v>11.04</v>
      </c>
      <c r="C5">
        <v>12.96</v>
      </c>
      <c r="D5">
        <v>9.1349999999999998</v>
      </c>
      <c r="H5">
        <f t="shared" si="1"/>
        <v>62.995720399429381</v>
      </c>
      <c r="I5">
        <f t="shared" si="2"/>
        <v>73.951497860199723</v>
      </c>
      <c r="J5">
        <f t="shared" si="3"/>
        <v>52.125534950071327</v>
      </c>
      <c r="L5">
        <f t="shared" si="4"/>
        <v>10.955777460770342</v>
      </c>
      <c r="M5">
        <f t="shared" si="5"/>
        <v>10.870185449358054</v>
      </c>
    </row>
    <row r="6" spans="1:13" x14ac:dyDescent="0.35">
      <c r="A6">
        <v>32</v>
      </c>
      <c r="B6">
        <v>16.649999999999999</v>
      </c>
      <c r="C6">
        <v>19.63</v>
      </c>
      <c r="D6">
        <v>13.72</v>
      </c>
      <c r="H6">
        <f t="shared" si="1"/>
        <v>95.007132667617682</v>
      </c>
      <c r="I6">
        <f t="shared" si="2"/>
        <v>112.01141226818829</v>
      </c>
      <c r="J6">
        <f t="shared" si="3"/>
        <v>78.288159771754636</v>
      </c>
      <c r="L6">
        <f t="shared" si="4"/>
        <v>17.004279600570612</v>
      </c>
      <c r="M6">
        <f t="shared" si="5"/>
        <v>16.718972895863047</v>
      </c>
    </row>
    <row r="7" spans="1:13" x14ac:dyDescent="0.35">
      <c r="A7">
        <v>64</v>
      </c>
      <c r="B7">
        <v>22.48</v>
      </c>
      <c r="C7">
        <v>26.39</v>
      </c>
      <c r="D7">
        <v>18.61</v>
      </c>
      <c r="H7">
        <f t="shared" si="1"/>
        <v>128.27389443651927</v>
      </c>
      <c r="I7">
        <f t="shared" si="2"/>
        <v>150.5848787446505</v>
      </c>
      <c r="J7">
        <f t="shared" si="3"/>
        <v>106.19115549215407</v>
      </c>
      <c r="L7">
        <f t="shared" si="4"/>
        <v>22.310984308131225</v>
      </c>
      <c r="M7">
        <f t="shared" si="5"/>
        <v>22.082738944365204</v>
      </c>
    </row>
    <row r="8" spans="1:13" x14ac:dyDescent="0.35">
      <c r="A8">
        <v>128</v>
      </c>
      <c r="B8">
        <v>34.47</v>
      </c>
      <c r="C8">
        <v>39.65</v>
      </c>
      <c r="D8">
        <v>29.25</v>
      </c>
      <c r="H8">
        <f t="shared" si="1"/>
        <v>196.6904422253923</v>
      </c>
      <c r="I8">
        <f t="shared" si="2"/>
        <v>226.24821683309557</v>
      </c>
      <c r="J8">
        <f t="shared" si="3"/>
        <v>166.90442225392297</v>
      </c>
      <c r="L8">
        <f t="shared" si="4"/>
        <v>29.557774607703266</v>
      </c>
      <c r="M8">
        <f t="shared" si="5"/>
        <v>29.786019971469329</v>
      </c>
    </row>
    <row r="9" spans="1:13" x14ac:dyDescent="0.35">
      <c r="A9">
        <v>256</v>
      </c>
      <c r="B9">
        <v>45.22</v>
      </c>
      <c r="C9">
        <v>52.01</v>
      </c>
      <c r="D9">
        <v>38.21</v>
      </c>
      <c r="H9">
        <f t="shared" si="1"/>
        <v>258.03138373751784</v>
      </c>
      <c r="I9">
        <f t="shared" si="2"/>
        <v>296.77603423680455</v>
      </c>
      <c r="J9">
        <f t="shared" si="3"/>
        <v>218.03138373751784</v>
      </c>
      <c r="L9">
        <f t="shared" si="4"/>
        <v>38.744650499286706</v>
      </c>
      <c r="M9">
        <f t="shared" si="5"/>
        <v>40</v>
      </c>
    </row>
    <row r="10" spans="1:13" x14ac:dyDescent="0.35">
      <c r="A10">
        <v>512</v>
      </c>
      <c r="B10">
        <v>64.67</v>
      </c>
      <c r="C10">
        <v>74.069999999999993</v>
      </c>
      <c r="D10">
        <v>55.32</v>
      </c>
      <c r="H10">
        <f t="shared" si="1"/>
        <v>369.01569186875895</v>
      </c>
      <c r="I10">
        <f t="shared" si="2"/>
        <v>422.65335235378029</v>
      </c>
      <c r="J10">
        <f t="shared" si="3"/>
        <v>315.66333808844507</v>
      </c>
      <c r="L10">
        <f t="shared" si="4"/>
        <v>53.637660485021343</v>
      </c>
      <c r="M10">
        <f t="shared" si="5"/>
        <v>53.352353780313877</v>
      </c>
    </row>
    <row r="11" spans="1:13" x14ac:dyDescent="0.35">
      <c r="A11">
        <v>1024</v>
      </c>
      <c r="B11">
        <v>83.79</v>
      </c>
      <c r="C11">
        <v>95.97</v>
      </c>
      <c r="D11">
        <v>71.67</v>
      </c>
      <c r="H11">
        <f t="shared" si="1"/>
        <v>478.11697574893014</v>
      </c>
      <c r="I11">
        <f t="shared" si="2"/>
        <v>547.61768901569189</v>
      </c>
      <c r="J11">
        <f t="shared" si="3"/>
        <v>408.95863052781743</v>
      </c>
      <c r="L11">
        <f t="shared" si="4"/>
        <v>69.50071326676175</v>
      </c>
      <c r="M11">
        <f t="shared" si="5"/>
        <v>69.158345221112711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2024-10-24T15:22:07Z</dcterms:modified>
</cp:coreProperties>
</file>