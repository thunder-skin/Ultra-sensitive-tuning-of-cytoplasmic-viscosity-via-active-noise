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3.0\P3\4.2 experiment_fitting_2\"/>
    </mc:Choice>
  </mc:AlternateContent>
  <xr:revisionPtr revIDLastSave="0" documentId="13_ncr:1_{07473855-41B9-4937-899A-6E8D9C77C086}" xr6:coauthVersionLast="47" xr6:coauthVersionMax="47" xr10:uidLastSave="{00000000-0000-0000-0000-000000000000}"/>
  <bookViews>
    <workbookView xWindow="1089" yWindow="617" windowWidth="23597" windowHeight="140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D9" i="1" s="1"/>
  <c r="L4" i="1"/>
  <c r="M4" i="1"/>
  <c r="N4" i="1"/>
  <c r="O4" i="1"/>
  <c r="P4" i="1"/>
  <c r="Q4" i="1"/>
  <c r="K4" i="1"/>
  <c r="C4" i="1" s="1"/>
  <c r="E4" i="1" s="1"/>
  <c r="G4" i="1"/>
  <c r="G9" i="1"/>
  <c r="I9" i="1" s="1"/>
  <c r="G8" i="1"/>
  <c r="I8" i="1" s="1"/>
  <c r="G7" i="1"/>
  <c r="I7" i="1" s="1"/>
  <c r="G6" i="1"/>
  <c r="I6" i="1" s="1"/>
  <c r="G5" i="1"/>
  <c r="I5" i="1" s="1"/>
  <c r="I3" i="1"/>
  <c r="H3" i="1"/>
  <c r="G3" i="1"/>
  <c r="G2" i="1"/>
  <c r="I2" i="1" s="1"/>
  <c r="G1" i="1"/>
  <c r="I1" i="1" s="1"/>
  <c r="D2" i="1"/>
  <c r="E2" i="1"/>
  <c r="D3" i="1"/>
  <c r="E3" i="1"/>
  <c r="D5" i="1"/>
  <c r="E5" i="1"/>
  <c r="D6" i="1"/>
  <c r="E6" i="1"/>
  <c r="D7" i="1"/>
  <c r="E7" i="1"/>
  <c r="E1" i="1"/>
  <c r="D1" i="1"/>
  <c r="C2" i="1"/>
  <c r="C3" i="1"/>
  <c r="C5" i="1"/>
  <c r="C6" i="1"/>
  <c r="C7" i="1"/>
  <c r="C8" i="1"/>
  <c r="D8" i="1" s="1"/>
  <c r="C1" i="1"/>
  <c r="E8" i="1" l="1"/>
  <c r="E9" i="1"/>
  <c r="I4" i="1"/>
  <c r="D4" i="1"/>
  <c r="H4" i="1"/>
  <c r="H5" i="1"/>
  <c r="H6" i="1"/>
  <c r="H7" i="1"/>
  <c r="H1" i="1"/>
  <c r="H8" i="1"/>
  <c r="H2" i="1"/>
  <c r="H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M17" sqref="M17"/>
    </sheetView>
  </sheetViews>
  <sheetFormatPr defaultRowHeight="14.15" x14ac:dyDescent="0.35"/>
  <sheetData>
    <row r="1" spans="1:25" x14ac:dyDescent="0.35">
      <c r="A1">
        <v>0.1</v>
      </c>
      <c r="C1">
        <f>K1</f>
        <v>7.1182870129999998</v>
      </c>
      <c r="D1">
        <f>C1-L1</f>
        <v>5.6098805689999995</v>
      </c>
      <c r="E1">
        <f>M1-C1</f>
        <v>18.562569867000001</v>
      </c>
      <c r="G1">
        <f>O1</f>
        <v>3.763110416</v>
      </c>
      <c r="H1">
        <f>G1-P1</f>
        <v>1.9036911519999999</v>
      </c>
      <c r="I1">
        <f>Q1-G1</f>
        <v>6.8052215240000002</v>
      </c>
      <c r="K1">
        <v>7.1182870129999998</v>
      </c>
      <c r="L1">
        <v>1.508406444</v>
      </c>
      <c r="M1">
        <v>25.68085688</v>
      </c>
      <c r="O1">
        <v>3.763110416</v>
      </c>
      <c r="P1">
        <v>1.859419264</v>
      </c>
      <c r="Q1">
        <v>10.56833194</v>
      </c>
      <c r="S1">
        <v>22.51</v>
      </c>
      <c r="T1">
        <v>4.7699999999999996</v>
      </c>
      <c r="U1">
        <v>81.209999999999994</v>
      </c>
      <c r="W1">
        <v>11.9</v>
      </c>
      <c r="X1">
        <v>5.88</v>
      </c>
      <c r="Y1">
        <v>33.42</v>
      </c>
    </row>
    <row r="2" spans="1:25" x14ac:dyDescent="0.35">
      <c r="A2">
        <v>0.2</v>
      </c>
      <c r="C2">
        <f t="shared" ref="C2:C9" si="0">K2</f>
        <v>10.82256901</v>
      </c>
      <c r="D2">
        <f t="shared" ref="D2:D9" si="1">C2-L2</f>
        <v>5.9524129550000007</v>
      </c>
      <c r="E2">
        <f t="shared" ref="E2:E9" si="2">M2-C2</f>
        <v>19.561122669999996</v>
      </c>
      <c r="G2">
        <f t="shared" ref="G2:G9" si="3">O2</f>
        <v>4.3603325560000004</v>
      </c>
      <c r="H2">
        <f t="shared" ref="H2:H9" si="4">G2-P2</f>
        <v>1.9140741890000004</v>
      </c>
      <c r="I2">
        <f t="shared" ref="I2:I9" si="5">Q2-G2</f>
        <v>4.5794672180000005</v>
      </c>
      <c r="K2">
        <v>10.82256901</v>
      </c>
      <c r="L2">
        <v>4.8701560549999998</v>
      </c>
      <c r="M2">
        <v>30.383691679999998</v>
      </c>
      <c r="O2">
        <v>4.3603325560000004</v>
      </c>
      <c r="P2">
        <v>2.446258367</v>
      </c>
      <c r="Q2">
        <v>8.9397997740000008</v>
      </c>
      <c r="S2">
        <v>24.2</v>
      </c>
      <c r="T2">
        <v>10.89</v>
      </c>
      <c r="U2">
        <v>67.94</v>
      </c>
      <c r="W2">
        <v>9.75</v>
      </c>
      <c r="X2">
        <v>5.47</v>
      </c>
      <c r="Y2">
        <v>19.989999999999998</v>
      </c>
    </row>
    <row r="3" spans="1:25" x14ac:dyDescent="0.35">
      <c r="A3">
        <v>0.5</v>
      </c>
      <c r="C3">
        <f t="shared" si="0"/>
        <v>15.06137444</v>
      </c>
      <c r="D3">
        <f t="shared" si="1"/>
        <v>10.380327549</v>
      </c>
      <c r="E3">
        <f t="shared" si="2"/>
        <v>15.040161240000002</v>
      </c>
      <c r="G3">
        <f t="shared" si="3"/>
        <v>6.0669761830000004</v>
      </c>
      <c r="H3">
        <f t="shared" si="4"/>
        <v>2.5880108200000005</v>
      </c>
      <c r="I3">
        <f t="shared" si="5"/>
        <v>6.6397326770000005</v>
      </c>
      <c r="K3">
        <v>15.06137444</v>
      </c>
      <c r="L3">
        <v>4.6810468910000003</v>
      </c>
      <c r="M3">
        <v>30.101535680000001</v>
      </c>
      <c r="O3">
        <v>6.0669761830000004</v>
      </c>
      <c r="P3">
        <v>3.4789653629999999</v>
      </c>
      <c r="Q3">
        <v>12.706708860000001</v>
      </c>
      <c r="S3">
        <v>21.3</v>
      </c>
      <c r="T3">
        <v>6.62</v>
      </c>
      <c r="U3">
        <v>42.57</v>
      </c>
      <c r="W3">
        <v>8.58</v>
      </c>
      <c r="X3">
        <v>4.92</v>
      </c>
      <c r="Y3">
        <v>17.97</v>
      </c>
    </row>
    <row r="4" spans="1:25" x14ac:dyDescent="0.35">
      <c r="A4">
        <v>1.6</v>
      </c>
      <c r="C4">
        <f t="shared" si="0"/>
        <v>19.346291475000001</v>
      </c>
      <c r="D4">
        <f t="shared" si="1"/>
        <v>11.080493899250001</v>
      </c>
      <c r="E4">
        <f t="shared" si="2"/>
        <v>18.782200090000003</v>
      </c>
      <c r="G4">
        <f t="shared" si="3"/>
        <v>9.6563270672500003</v>
      </c>
      <c r="H4">
        <f t="shared" si="4"/>
        <v>4.2261241800000011</v>
      </c>
      <c r="I4">
        <f t="shared" si="5"/>
        <v>9.211267802750001</v>
      </c>
      <c r="K4">
        <f>3*K3/4+K5/4</f>
        <v>19.346291475000001</v>
      </c>
      <c r="L4">
        <f t="shared" ref="L4:Q4" si="6">3*L3/4+L5/4</f>
        <v>8.2657975757499997</v>
      </c>
      <c r="M4">
        <f t="shared" si="6"/>
        <v>38.128491565000004</v>
      </c>
      <c r="N4">
        <f t="shared" si="6"/>
        <v>0</v>
      </c>
      <c r="O4">
        <f t="shared" si="6"/>
        <v>9.6563270672500003</v>
      </c>
      <c r="P4">
        <f t="shared" si="6"/>
        <v>5.4302028872499992</v>
      </c>
      <c r="Q4">
        <f t="shared" si="6"/>
        <v>18.867594870000001</v>
      </c>
      <c r="S4">
        <v>4.12</v>
      </c>
      <c r="T4">
        <v>2.7</v>
      </c>
      <c r="U4">
        <v>16.23</v>
      </c>
      <c r="W4">
        <v>4.82</v>
      </c>
      <c r="X4">
        <v>2.34</v>
      </c>
      <c r="Y4">
        <v>10.75</v>
      </c>
    </row>
    <row r="5" spans="1:25" x14ac:dyDescent="0.35">
      <c r="A5">
        <v>6.07</v>
      </c>
      <c r="C5">
        <f t="shared" si="0"/>
        <v>32.201042579999999</v>
      </c>
      <c r="D5">
        <f t="shared" si="1"/>
        <v>13.18099295</v>
      </c>
      <c r="E5">
        <f t="shared" si="2"/>
        <v>30.008316640000004</v>
      </c>
      <c r="G5">
        <f t="shared" si="3"/>
        <v>20.424379720000001</v>
      </c>
      <c r="H5">
        <f t="shared" si="4"/>
        <v>9.1404642600000017</v>
      </c>
      <c r="I5">
        <f t="shared" si="5"/>
        <v>16.92587318</v>
      </c>
      <c r="K5">
        <v>32.201042579999999</v>
      </c>
      <c r="L5">
        <v>19.020049629999999</v>
      </c>
      <c r="M5">
        <v>62.209359220000003</v>
      </c>
      <c r="O5">
        <v>20.424379720000001</v>
      </c>
      <c r="P5">
        <v>11.283915459999999</v>
      </c>
      <c r="Q5">
        <v>37.350252900000001</v>
      </c>
      <c r="S5">
        <v>13.07</v>
      </c>
      <c r="T5">
        <v>7.72</v>
      </c>
      <c r="U5">
        <v>25.25</v>
      </c>
      <c r="W5">
        <v>8.2899999999999991</v>
      </c>
      <c r="X5">
        <v>4.58</v>
      </c>
      <c r="Y5">
        <v>15.16</v>
      </c>
    </row>
    <row r="6" spans="1:25" x14ac:dyDescent="0.35">
      <c r="A6">
        <v>24.1</v>
      </c>
      <c r="C6">
        <f t="shared" si="0"/>
        <v>57.437348479999997</v>
      </c>
      <c r="D6">
        <f t="shared" si="1"/>
        <v>33.480574069999996</v>
      </c>
      <c r="E6">
        <f t="shared" si="2"/>
        <v>51.202696119999999</v>
      </c>
      <c r="G6">
        <f t="shared" si="3"/>
        <v>39.862501680000001</v>
      </c>
      <c r="H6">
        <f t="shared" si="4"/>
        <v>18.16394781</v>
      </c>
      <c r="I6">
        <f t="shared" si="5"/>
        <v>29.995059759999997</v>
      </c>
      <c r="K6">
        <v>57.437348479999997</v>
      </c>
      <c r="L6">
        <v>23.956774410000001</v>
      </c>
      <c r="M6">
        <v>108.6400446</v>
      </c>
      <c r="O6">
        <v>39.862501680000001</v>
      </c>
      <c r="P6">
        <v>21.698553870000001</v>
      </c>
      <c r="Q6">
        <v>69.857561439999998</v>
      </c>
      <c r="S6">
        <v>11.7</v>
      </c>
      <c r="T6">
        <v>4.88</v>
      </c>
      <c r="U6">
        <v>22.13</v>
      </c>
      <c r="W6">
        <v>8.1199999999999992</v>
      </c>
      <c r="X6">
        <v>4.42</v>
      </c>
      <c r="Y6">
        <v>14.23</v>
      </c>
    </row>
    <row r="7" spans="1:25" x14ac:dyDescent="0.35">
      <c r="A7">
        <v>95.6</v>
      </c>
      <c r="C7">
        <f t="shared" si="0"/>
        <v>84.282267649999994</v>
      </c>
      <c r="D7">
        <f t="shared" si="1"/>
        <v>39.696752509999996</v>
      </c>
      <c r="E7">
        <f t="shared" si="2"/>
        <v>45.172166650000008</v>
      </c>
      <c r="G7">
        <f t="shared" si="3"/>
        <v>78.709078259999998</v>
      </c>
      <c r="H7">
        <f t="shared" si="4"/>
        <v>26.301542919999996</v>
      </c>
      <c r="I7">
        <f t="shared" si="5"/>
        <v>42.238909039999996</v>
      </c>
      <c r="K7">
        <v>84.282267649999994</v>
      </c>
      <c r="L7">
        <v>44.585515139999998</v>
      </c>
      <c r="M7">
        <v>129.4544343</v>
      </c>
      <c r="O7">
        <v>78.709078259999998</v>
      </c>
      <c r="P7">
        <v>52.407535340000003</v>
      </c>
      <c r="Q7">
        <v>120.94798729999999</v>
      </c>
      <c r="S7">
        <v>8.6199999999999992</v>
      </c>
      <c r="T7">
        <v>4.5599999999999996</v>
      </c>
      <c r="U7">
        <v>13.24</v>
      </c>
      <c r="W7">
        <v>8.0500000000000007</v>
      </c>
      <c r="X7">
        <v>5.36</v>
      </c>
      <c r="Y7">
        <v>12.37</v>
      </c>
    </row>
    <row r="8" spans="1:25" x14ac:dyDescent="0.35">
      <c r="A8">
        <v>341</v>
      </c>
      <c r="C8">
        <f t="shared" si="0"/>
        <v>155.51354029999999</v>
      </c>
      <c r="D8">
        <f t="shared" si="1"/>
        <v>63.921261149999992</v>
      </c>
      <c r="E8">
        <f t="shared" si="2"/>
        <v>53.33901560000001</v>
      </c>
      <c r="G8">
        <f t="shared" si="3"/>
        <v>152.3460288</v>
      </c>
      <c r="H8">
        <f t="shared" si="4"/>
        <v>54.290584789999997</v>
      </c>
      <c r="I8">
        <f t="shared" si="5"/>
        <v>100.64071000000001</v>
      </c>
      <c r="K8">
        <v>155.51354029999999</v>
      </c>
      <c r="L8">
        <v>91.592279149999996</v>
      </c>
      <c r="M8">
        <v>208.8525559</v>
      </c>
      <c r="O8">
        <v>152.3460288</v>
      </c>
      <c r="P8">
        <v>98.055444010000002</v>
      </c>
      <c r="Q8">
        <v>252.98673880000001</v>
      </c>
      <c r="S8">
        <v>7.88</v>
      </c>
      <c r="T8">
        <v>4.96</v>
      </c>
      <c r="U8">
        <v>11.31</v>
      </c>
      <c r="W8">
        <v>8.25</v>
      </c>
      <c r="X8">
        <v>5.31</v>
      </c>
      <c r="Y8">
        <v>13.7</v>
      </c>
    </row>
    <row r="9" spans="1:25" x14ac:dyDescent="0.35">
      <c r="A9">
        <v>1199</v>
      </c>
      <c r="C9">
        <f>K9</f>
        <v>225.5024478</v>
      </c>
      <c r="D9">
        <f t="shared" si="1"/>
        <v>49.2531587</v>
      </c>
      <c r="E9">
        <f t="shared" si="2"/>
        <v>164.39283609999998</v>
      </c>
      <c r="G9">
        <f t="shared" si="3"/>
        <v>264.67219060000002</v>
      </c>
      <c r="H9">
        <f t="shared" si="4"/>
        <v>97.079546400000027</v>
      </c>
      <c r="I9">
        <f t="shared" si="5"/>
        <v>260.6130187</v>
      </c>
      <c r="K9">
        <v>225.5024478</v>
      </c>
      <c r="L9">
        <v>176.2492891</v>
      </c>
      <c r="M9">
        <v>389.89528389999998</v>
      </c>
      <c r="O9">
        <v>264.67219060000002</v>
      </c>
      <c r="P9">
        <v>167.5926442</v>
      </c>
      <c r="Q9">
        <v>525.28520930000002</v>
      </c>
      <c r="S9">
        <v>7.09</v>
      </c>
      <c r="T9">
        <v>5.09</v>
      </c>
      <c r="U9">
        <v>11.26</v>
      </c>
      <c r="W9">
        <v>8.51</v>
      </c>
      <c r="X9">
        <v>4.84</v>
      </c>
      <c r="Y9">
        <v>15.17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2024-10-21T04:43:11Z</dcterms:modified>
</cp:coreProperties>
</file>